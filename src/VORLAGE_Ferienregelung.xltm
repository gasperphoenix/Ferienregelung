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814" codeName="{51196F13-6AD0-C1B8-E2B4-A1F9AE17003E}"/>
  <workbookPr codeName="DieseArbeitsmappe" checkCompatibility="1"/>
  <mc:AlternateContent xmlns:mc="http://schemas.openxmlformats.org/markup-compatibility/2006">
    <mc:Choice Requires="x15">
      <x15ac:absPath xmlns:x15ac="http://schemas.microsoft.com/office/spreadsheetml/2010/11/ac" url="/Users/dennisjung/git/Ferienregelung/src/"/>
    </mc:Choice>
  </mc:AlternateContent>
  <xr:revisionPtr revIDLastSave="0" documentId="13_ncr:1_{BA4FB3D3-0E55-1B4E-AF78-2D645F02B07F}" xr6:coauthVersionLast="36" xr6:coauthVersionMax="36" xr10:uidLastSave="{00000000-0000-0000-0000-000000000000}"/>
  <workbookProtection workbookAlgorithmName="SHA-512" workbookHashValue="geBr0PpLDEtMNjvczy4NIiF4KKlmDgtN2DuQxZAOty2Q5Xj33mVzKwPGV8FlMCj9D9FsQB6Ug1/+2zqx/itMvA==" workbookSaltValue="b/NI91AHWw1JShs6z9u+MA==" workbookSpinCount="100000" lockStructure="1"/>
  <bookViews>
    <workbookView xWindow="0" yWindow="440" windowWidth="25600" windowHeight="14620" tabRatio="574" xr2:uid="{00000000-000D-0000-FFFF-FFFF00000000}"/>
  </bookViews>
  <sheets>
    <sheet name="Titelseite" sheetId="86" r:id="rId1"/>
    <sheet name="Anleitung" sheetId="87" r:id="rId2"/>
    <sheet name="Konfiguration" sheetId="80" r:id="rId3"/>
    <sheet name="Ferienregelung" sheetId="79" r:id="rId4"/>
    <sheet name="Ferien" sheetId="81" r:id="rId5"/>
    <sheet name="Feiertage" sheetId="82" r:id="rId6"/>
    <sheet name="Termine" sheetId="83" r:id="rId7"/>
    <sheet name="Aufenthalte" sheetId="85" r:id="rId8"/>
    <sheet name="Vereinbarungen" sheetId="84" r:id="rId9"/>
  </sheets>
  <functionGroups builtInGroupCount="19"/>
  <definedNames>
    <definedName name="Aufenthaltsorte">Konfiguration!$B$4:$B$5</definedName>
    <definedName name="_xlnm.Print_Area" localSheetId="1">Anleitung!$A$1:$K$56</definedName>
    <definedName name="_xlnm.Print_Area" localSheetId="3">Ferienregelung!$A$1:$EP$53</definedName>
    <definedName name="_xlnm.Print_Area" localSheetId="0">Titelseite!$A$1:$K$56</definedName>
    <definedName name="Kalenderjahr" localSheetId="1">Konfiguration!#REF!</definedName>
    <definedName name="Kalenderjahr">Konfiguration!#REF!</definedName>
    <definedName name="Kind" localSheetId="1">Konfiguration!#REF!</definedName>
    <definedName name="Kind">Konfiguration!#REF!</definedName>
    <definedName name="LINE_BREAK">Konfiguration!$G$1</definedName>
    <definedName name="varKind" localSheetId="1">Konfiguration!#REF!</definedName>
    <definedName name="vKalenderjahr" localSheetId="1">Konfiguration!#REF!</definedName>
    <definedName name="vKind" localSheetId="1">Konfiguration!#REF!</definedName>
    <definedName name="Z_19F2C78B_640B_4445_8A9B_8FF71EE799BF_.wvu.PrintArea" localSheetId="3" hidden="1">Ferienregelung!$I$1:$EP$50</definedName>
    <definedName name="Z_C000300E_3872_7844_B072_10EE917F89C0_.wvu.Cols" localSheetId="3" hidden="1">Ferienregelung!$B:$H,Ferienregelung!$N:$S,Ferienregelung!$Y:$AD,Ferienregelung!$AJ:$AO,Ferienregelung!$AU:$AZ,Ferienregelung!$BF:$BK,Ferienregelung!$BQ:$BV,Ferienregelung!$CB:$CG,Ferienregelung!$CM:$CR,Ferienregelung!$CX:$DC,Ferienregelung!$DI:$DN,Ferienregelung!$DT:$DY,Ferienregelung!$EE:$EJ</definedName>
    <definedName name="Z_C000300E_3872_7844_B072_10EE917F89C0_.wvu.PrintArea" localSheetId="3" hidden="1">Ferienregelung!$I$1:$EP$50</definedName>
  </definedNames>
  <calcPr calcId="179021"/>
  <customWorkbookViews>
    <customWorkbookView name="DEVEL" guid="{19F2C78B-640B-4445-8A9B-8FF71EE799BF}" yWindow="22" windowWidth="1280" windowHeight="731" tabRatio="574" activeSheetId="79"/>
    <customWorkbookView name="PRODUCTION" guid="{C000300E-3872-7844-B072-10EE917F89C0}" yWindow="22" windowWidth="1280" windowHeight="731" tabRatio="574" activeSheetId="79"/>
  </customWorkbookView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C55" i="86" l="1"/>
  <c r="I1" i="79" l="1"/>
  <c r="K45" i="79" l="1"/>
  <c r="K44" i="79"/>
  <c r="BO49" i="79" l="1"/>
  <c r="BL49" i="79"/>
  <c r="BO48" i="79"/>
  <c r="BL48" i="79"/>
  <c r="BO47" i="79"/>
  <c r="BL47" i="79"/>
  <c r="BO46" i="79"/>
  <c r="BL46" i="79"/>
  <c r="BO45" i="79"/>
  <c r="BL45" i="79"/>
  <c r="BO44" i="79"/>
  <c r="BL44" i="79"/>
  <c r="BO43" i="79"/>
  <c r="BL43" i="79"/>
  <c r="BO42" i="79"/>
  <c r="BL42" i="79"/>
  <c r="BO41" i="79"/>
  <c r="BL41" i="79"/>
  <c r="BO40" i="79"/>
  <c r="BL40" i="79"/>
  <c r="BO39" i="79"/>
  <c r="BL39" i="79"/>
  <c r="BO38" i="79"/>
  <c r="BL38" i="79"/>
  <c r="BO37" i="79"/>
  <c r="BL37" i="79"/>
  <c r="F395" i="85" l="1"/>
  <c r="F394" i="85"/>
  <c r="F393" i="85"/>
  <c r="F392" i="85"/>
  <c r="F391" i="85"/>
  <c r="F390" i="85"/>
  <c r="F389" i="85"/>
  <c r="F388" i="85"/>
  <c r="F387" i="85"/>
  <c r="F386" i="85"/>
  <c r="F385" i="85"/>
  <c r="F384" i="85"/>
  <c r="F383" i="85"/>
  <c r="F382" i="85"/>
  <c r="F381" i="85"/>
  <c r="F379" i="85"/>
  <c r="F378" i="85"/>
  <c r="F377" i="85"/>
  <c r="F376" i="85"/>
  <c r="F375" i="85"/>
  <c r="F374" i="85"/>
  <c r="F373" i="85"/>
  <c r="F372" i="85"/>
  <c r="F371" i="85"/>
  <c r="F370" i="85"/>
  <c r="F369" i="85"/>
  <c r="F368" i="85"/>
  <c r="F367" i="85"/>
  <c r="F366" i="85"/>
  <c r="F365" i="85"/>
  <c r="F364" i="85"/>
  <c r="F363" i="85"/>
  <c r="F362" i="85"/>
  <c r="F361" i="85"/>
  <c r="F360" i="85"/>
  <c r="F359" i="85"/>
  <c r="F358" i="85"/>
  <c r="F357" i="85"/>
  <c r="F356" i="85"/>
  <c r="F355" i="85"/>
  <c r="F354" i="85"/>
  <c r="F353" i="85"/>
  <c r="F352" i="85"/>
  <c r="F351" i="85"/>
  <c r="F350" i="85"/>
  <c r="F349" i="85"/>
  <c r="F347" i="85"/>
  <c r="F346" i="85"/>
  <c r="F345" i="85"/>
  <c r="F344" i="85"/>
  <c r="F343" i="85"/>
  <c r="F342" i="85"/>
  <c r="F341" i="85"/>
  <c r="F340" i="85"/>
  <c r="F339" i="85"/>
  <c r="F338" i="85"/>
  <c r="F337" i="85"/>
  <c r="F336" i="85"/>
  <c r="F335" i="85"/>
  <c r="F334" i="85"/>
  <c r="F333" i="85"/>
  <c r="F332" i="85"/>
  <c r="F331" i="85"/>
  <c r="F330" i="85"/>
  <c r="F329" i="85"/>
  <c r="F328" i="85"/>
  <c r="F327" i="85"/>
  <c r="F326" i="85"/>
  <c r="F325" i="85"/>
  <c r="F324" i="85"/>
  <c r="F323" i="85"/>
  <c r="F322" i="85"/>
  <c r="F321" i="85"/>
  <c r="F320" i="85"/>
  <c r="F319" i="85"/>
  <c r="F318" i="85"/>
  <c r="F316" i="85"/>
  <c r="F315" i="85"/>
  <c r="F314" i="85"/>
  <c r="F313" i="85"/>
  <c r="F312" i="85"/>
  <c r="F311" i="85"/>
  <c r="F310" i="85"/>
  <c r="F309" i="85"/>
  <c r="F308" i="85"/>
  <c r="F307" i="85"/>
  <c r="F306" i="85"/>
  <c r="F305" i="85"/>
  <c r="F304" i="85"/>
  <c r="F303" i="85"/>
  <c r="F302" i="85"/>
  <c r="F301" i="85"/>
  <c r="F300" i="85"/>
  <c r="F299" i="85"/>
  <c r="F298" i="85"/>
  <c r="F297" i="85"/>
  <c r="F296" i="85"/>
  <c r="F295" i="85"/>
  <c r="F294" i="85"/>
  <c r="F293" i="85"/>
  <c r="F292" i="85"/>
  <c r="F291" i="85"/>
  <c r="F290" i="85"/>
  <c r="F289" i="85"/>
  <c r="F288" i="85"/>
  <c r="F287" i="85"/>
  <c r="F286" i="85"/>
  <c r="F284" i="85"/>
  <c r="F283" i="85"/>
  <c r="F282" i="85"/>
  <c r="F281" i="85"/>
  <c r="F280" i="85"/>
  <c r="F279" i="85"/>
  <c r="F278" i="85"/>
  <c r="F277" i="85"/>
  <c r="F276" i="85"/>
  <c r="F275" i="85"/>
  <c r="F274" i="85"/>
  <c r="F273" i="85"/>
  <c r="F272" i="85"/>
  <c r="F271" i="85"/>
  <c r="F270" i="85"/>
  <c r="F269" i="85"/>
  <c r="F268" i="85"/>
  <c r="F267" i="85"/>
  <c r="F266" i="85"/>
  <c r="F265" i="85"/>
  <c r="F264" i="85"/>
  <c r="F263" i="85"/>
  <c r="F262" i="85"/>
  <c r="F261" i="85"/>
  <c r="F260" i="85"/>
  <c r="F259" i="85"/>
  <c r="F258" i="85"/>
  <c r="F257" i="85"/>
  <c r="F256" i="85"/>
  <c r="F255" i="85"/>
  <c r="F253" i="85"/>
  <c r="F252" i="85"/>
  <c r="F251" i="85"/>
  <c r="F250" i="85"/>
  <c r="F249" i="85"/>
  <c r="F248" i="85"/>
  <c r="F247" i="85"/>
  <c r="F246" i="85"/>
  <c r="F245" i="85"/>
  <c r="F244" i="85"/>
  <c r="F243" i="85"/>
  <c r="F242" i="85"/>
  <c r="F241" i="85"/>
  <c r="F240" i="85"/>
  <c r="F239" i="85"/>
  <c r="F238" i="85"/>
  <c r="F237" i="85"/>
  <c r="F236" i="85"/>
  <c r="F235" i="85"/>
  <c r="F234" i="85"/>
  <c r="F233" i="85"/>
  <c r="F232" i="85"/>
  <c r="F231" i="85"/>
  <c r="F230" i="85"/>
  <c r="F229" i="85"/>
  <c r="F228" i="85"/>
  <c r="F227" i="85"/>
  <c r="F226" i="85"/>
  <c r="F225" i="85"/>
  <c r="F224" i="85"/>
  <c r="F223" i="85"/>
  <c r="F221" i="85"/>
  <c r="F220" i="85"/>
  <c r="F219" i="85"/>
  <c r="F218" i="85"/>
  <c r="F217" i="85"/>
  <c r="F216" i="85"/>
  <c r="F215" i="85"/>
  <c r="F214" i="85"/>
  <c r="F213" i="85"/>
  <c r="F212" i="85"/>
  <c r="F211" i="85"/>
  <c r="F210" i="85"/>
  <c r="F209" i="85"/>
  <c r="F208" i="85"/>
  <c r="F207" i="85"/>
  <c r="F206" i="85"/>
  <c r="F205" i="85"/>
  <c r="F204" i="85"/>
  <c r="F203" i="85"/>
  <c r="F202" i="85"/>
  <c r="F201" i="85"/>
  <c r="F200" i="85"/>
  <c r="F199" i="85"/>
  <c r="F198" i="85"/>
  <c r="F197" i="85"/>
  <c r="F196" i="85"/>
  <c r="F195" i="85"/>
  <c r="F194" i="85"/>
  <c r="F193" i="85"/>
  <c r="F192" i="85"/>
  <c r="F191" i="85"/>
  <c r="F189" i="85"/>
  <c r="F188" i="85"/>
  <c r="F187" i="85"/>
  <c r="F186" i="85"/>
  <c r="F185" i="85"/>
  <c r="F184" i="85"/>
  <c r="F183" i="85"/>
  <c r="F182" i="85"/>
  <c r="F181" i="85"/>
  <c r="F180" i="85"/>
  <c r="F179" i="85"/>
  <c r="F178" i="85"/>
  <c r="F177" i="85"/>
  <c r="F176" i="85"/>
  <c r="F175" i="85"/>
  <c r="F174" i="85"/>
  <c r="F173" i="85"/>
  <c r="F172" i="85"/>
  <c r="F171" i="85"/>
  <c r="F170" i="85"/>
  <c r="F169" i="85"/>
  <c r="F168" i="85"/>
  <c r="F167" i="85"/>
  <c r="F166" i="85"/>
  <c r="F165" i="85"/>
  <c r="F164" i="85"/>
  <c r="F163" i="85"/>
  <c r="F162" i="85"/>
  <c r="F161" i="85"/>
  <c r="F160" i="85"/>
  <c r="F158" i="85"/>
  <c r="F157" i="85"/>
  <c r="F156" i="85"/>
  <c r="F155" i="85"/>
  <c r="F154" i="85"/>
  <c r="F153" i="85"/>
  <c r="F152" i="85"/>
  <c r="F151" i="85"/>
  <c r="F150" i="85"/>
  <c r="F149" i="85"/>
  <c r="F148" i="85"/>
  <c r="F147" i="85"/>
  <c r="F146" i="85"/>
  <c r="F145" i="85"/>
  <c r="F144" i="85"/>
  <c r="F143" i="85"/>
  <c r="F142" i="85"/>
  <c r="F141" i="85"/>
  <c r="F140" i="85"/>
  <c r="F139" i="85"/>
  <c r="F138" i="85"/>
  <c r="F137" i="85"/>
  <c r="F136" i="85"/>
  <c r="F135" i="85"/>
  <c r="F134" i="85"/>
  <c r="F133" i="85"/>
  <c r="F132" i="85"/>
  <c r="F131" i="85"/>
  <c r="F130" i="85"/>
  <c r="F129" i="85"/>
  <c r="F128" i="85"/>
  <c r="F126" i="85"/>
  <c r="F125" i="85"/>
  <c r="F124" i="85"/>
  <c r="F123" i="85"/>
  <c r="F122" i="85"/>
  <c r="F121" i="85"/>
  <c r="F120" i="85"/>
  <c r="F119" i="85"/>
  <c r="F118" i="85"/>
  <c r="F117" i="85"/>
  <c r="F116" i="85"/>
  <c r="F115" i="85"/>
  <c r="F114" i="85"/>
  <c r="F113" i="85"/>
  <c r="F112" i="85"/>
  <c r="F111" i="85"/>
  <c r="F110" i="85"/>
  <c r="F109" i="85"/>
  <c r="F108" i="85"/>
  <c r="F107" i="85"/>
  <c r="F106" i="85"/>
  <c r="F105" i="85"/>
  <c r="F104" i="85"/>
  <c r="F103" i="85"/>
  <c r="F102" i="85"/>
  <c r="F101" i="85"/>
  <c r="F100" i="85"/>
  <c r="F99" i="85"/>
  <c r="F98" i="85"/>
  <c r="F97" i="85"/>
  <c r="F95" i="85"/>
  <c r="F94" i="85"/>
  <c r="F93" i="85"/>
  <c r="F92" i="85"/>
  <c r="F91" i="85"/>
  <c r="F90" i="85"/>
  <c r="F89" i="85"/>
  <c r="F88" i="85"/>
  <c r="F87" i="85"/>
  <c r="F86" i="85"/>
  <c r="F85" i="85"/>
  <c r="F84" i="85"/>
  <c r="F83" i="85"/>
  <c r="F82" i="85"/>
  <c r="F81" i="85"/>
  <c r="F80" i="85"/>
  <c r="F79" i="85"/>
  <c r="F78" i="85"/>
  <c r="F77" i="85"/>
  <c r="F76" i="85"/>
  <c r="F75" i="85"/>
  <c r="F74" i="85"/>
  <c r="F73" i="85"/>
  <c r="F72" i="85"/>
  <c r="F71" i="85"/>
  <c r="F70" i="85"/>
  <c r="F69" i="85"/>
  <c r="F68" i="85"/>
  <c r="F67" i="85"/>
  <c r="F66" i="85"/>
  <c r="F65" i="85"/>
  <c r="F63" i="85"/>
  <c r="F62" i="85"/>
  <c r="F61" i="85"/>
  <c r="F60" i="85"/>
  <c r="F59" i="85"/>
  <c r="F58" i="85"/>
  <c r="F57" i="85"/>
  <c r="F56" i="85"/>
  <c r="F55" i="85"/>
  <c r="F54" i="85"/>
  <c r="F53" i="85"/>
  <c r="F52" i="85"/>
  <c r="F51" i="85"/>
  <c r="F50" i="85"/>
  <c r="F49" i="85"/>
  <c r="F48" i="85"/>
  <c r="F47" i="85"/>
  <c r="F46" i="85"/>
  <c r="F45" i="85"/>
  <c r="F44" i="85"/>
  <c r="F43" i="85"/>
  <c r="F42" i="85"/>
  <c r="F41" i="85"/>
  <c r="F40" i="85"/>
  <c r="F39" i="85"/>
  <c r="F38" i="85"/>
  <c r="F37" i="85"/>
  <c r="F36" i="85"/>
  <c r="F35" i="85"/>
  <c r="F4" i="85"/>
  <c r="F5" i="85"/>
  <c r="F6" i="85"/>
  <c r="F7" i="85"/>
  <c r="F8" i="85"/>
  <c r="F9" i="85"/>
  <c r="F10" i="85"/>
  <c r="F11" i="85"/>
  <c r="F12" i="85"/>
  <c r="F13" i="85"/>
  <c r="F14" i="85"/>
  <c r="F15" i="85"/>
  <c r="F16" i="85"/>
  <c r="F17" i="85"/>
  <c r="F18" i="85"/>
  <c r="F19" i="85"/>
  <c r="F20" i="85"/>
  <c r="F21" i="85"/>
  <c r="F22" i="85"/>
  <c r="F23" i="85"/>
  <c r="F24" i="85"/>
  <c r="F25" i="85"/>
  <c r="F26" i="85"/>
  <c r="F27" i="85"/>
  <c r="F28" i="85"/>
  <c r="F29" i="85"/>
  <c r="F30" i="85"/>
  <c r="F31" i="85"/>
  <c r="F32" i="85"/>
  <c r="F33" i="85"/>
  <c r="F3" i="85"/>
  <c r="G137" i="85" l="1"/>
  <c r="AH38" i="79"/>
  <c r="AH39" i="79"/>
  <c r="AH40" i="79"/>
  <c r="AH41" i="79"/>
  <c r="AH42" i="79"/>
  <c r="AH43" i="79"/>
  <c r="AH44" i="79"/>
  <c r="AH45" i="79"/>
  <c r="AH46" i="79"/>
  <c r="AH47" i="79"/>
  <c r="AH48" i="79"/>
  <c r="AH49" i="79"/>
  <c r="CU38" i="79"/>
  <c r="CU39" i="79"/>
  <c r="CU40" i="79"/>
  <c r="CU41" i="79"/>
  <c r="CU42" i="79"/>
  <c r="CU43" i="79"/>
  <c r="CU44" i="79"/>
  <c r="CU45" i="79"/>
  <c r="CU46" i="79"/>
  <c r="CU47" i="79"/>
  <c r="CU48" i="79"/>
  <c r="CU49" i="79"/>
  <c r="A381" i="85" l="1"/>
  <c r="A380" i="85"/>
  <c r="E395" i="85"/>
  <c r="E394" i="85"/>
  <c r="E393" i="85"/>
  <c r="E392" i="85"/>
  <c r="E391" i="85"/>
  <c r="E390" i="85"/>
  <c r="E389" i="85"/>
  <c r="E388" i="85"/>
  <c r="E387" i="85"/>
  <c r="E386" i="85"/>
  <c r="E385" i="85"/>
  <c r="E384" i="85"/>
  <c r="E383" i="85"/>
  <c r="E382" i="85"/>
  <c r="E381" i="85"/>
  <c r="A382" i="85"/>
  <c r="A383" i="85" s="1"/>
  <c r="A384" i="85" s="1"/>
  <c r="A385" i="85" s="1"/>
  <c r="A386" i="85" s="1"/>
  <c r="A387" i="85" s="1"/>
  <c r="A388" i="85" s="1"/>
  <c r="A389" i="85" s="1"/>
  <c r="A390" i="85" s="1"/>
  <c r="A391" i="85" s="1"/>
  <c r="A392" i="85" s="1"/>
  <c r="A393" i="85" s="1"/>
  <c r="A394" i="85" s="1"/>
  <c r="A395" i="85" s="1"/>
  <c r="A349" i="85"/>
  <c r="A350" i="85" s="1"/>
  <c r="A351" i="85" s="1"/>
  <c r="A352" i="85" s="1"/>
  <c r="A353" i="85" s="1"/>
  <c r="A354" i="85" s="1"/>
  <c r="A355" i="85" s="1"/>
  <c r="A356" i="85" s="1"/>
  <c r="A357" i="85" s="1"/>
  <c r="A358" i="85" s="1"/>
  <c r="A359" i="85" s="1"/>
  <c r="A360" i="85" s="1"/>
  <c r="A361" i="85" s="1"/>
  <c r="A362" i="85" s="1"/>
  <c r="A363" i="85" s="1"/>
  <c r="A364" i="85" s="1"/>
  <c r="A365" i="85" s="1"/>
  <c r="A366" i="85" s="1"/>
  <c r="A367" i="85" s="1"/>
  <c r="A368" i="85" s="1"/>
  <c r="A369" i="85" s="1"/>
  <c r="A370" i="85" s="1"/>
  <c r="A371" i="85" s="1"/>
  <c r="A372" i="85" s="1"/>
  <c r="A373" i="85" s="1"/>
  <c r="A374" i="85" s="1"/>
  <c r="A375" i="85" s="1"/>
  <c r="A376" i="85" s="1"/>
  <c r="A377" i="85" s="1"/>
  <c r="A378" i="85" s="1"/>
  <c r="A379" i="85" s="1"/>
  <c r="E379" i="85"/>
  <c r="E378" i="85"/>
  <c r="E377" i="85"/>
  <c r="E376" i="85"/>
  <c r="E375" i="85"/>
  <c r="E374" i="85"/>
  <c r="E373" i="85"/>
  <c r="E372" i="85"/>
  <c r="E371" i="85"/>
  <c r="E370" i="85"/>
  <c r="E369" i="85"/>
  <c r="E368" i="85"/>
  <c r="E367" i="85"/>
  <c r="E366" i="85"/>
  <c r="E365" i="85"/>
  <c r="E364" i="85"/>
  <c r="E363" i="85"/>
  <c r="E362" i="85"/>
  <c r="E361" i="85"/>
  <c r="E360" i="85"/>
  <c r="E359" i="85"/>
  <c r="E358" i="85"/>
  <c r="E357" i="85"/>
  <c r="E356" i="85"/>
  <c r="E355" i="85"/>
  <c r="E354" i="85"/>
  <c r="E353" i="85"/>
  <c r="E352" i="85"/>
  <c r="E351" i="85"/>
  <c r="E350" i="85"/>
  <c r="E349" i="85"/>
  <c r="A318" i="85"/>
  <c r="E347" i="85"/>
  <c r="E346" i="85"/>
  <c r="E345" i="85"/>
  <c r="E344" i="85"/>
  <c r="E343" i="85"/>
  <c r="E342" i="85"/>
  <c r="E341" i="85"/>
  <c r="E340" i="85"/>
  <c r="E339" i="85"/>
  <c r="E338" i="85"/>
  <c r="E337" i="85"/>
  <c r="E336" i="85"/>
  <c r="E335" i="85"/>
  <c r="E334" i="85"/>
  <c r="E333" i="85"/>
  <c r="E332" i="85"/>
  <c r="E331" i="85"/>
  <c r="E330" i="85"/>
  <c r="E329" i="85"/>
  <c r="E328" i="85"/>
  <c r="E327" i="85"/>
  <c r="E326" i="85"/>
  <c r="E325" i="85"/>
  <c r="E324" i="85"/>
  <c r="E323" i="85"/>
  <c r="E322" i="85"/>
  <c r="E321" i="85"/>
  <c r="E320" i="85"/>
  <c r="E319" i="85"/>
  <c r="E318" i="85"/>
  <c r="A319" i="85"/>
  <c r="A320" i="85" s="1"/>
  <c r="A321" i="85" s="1"/>
  <c r="A322" i="85" s="1"/>
  <c r="A323" i="85" s="1"/>
  <c r="A324" i="85" s="1"/>
  <c r="A325" i="85" s="1"/>
  <c r="A326" i="85" s="1"/>
  <c r="A327" i="85" s="1"/>
  <c r="A328" i="85" s="1"/>
  <c r="A329" i="85" s="1"/>
  <c r="A330" i="85" s="1"/>
  <c r="A331" i="85" s="1"/>
  <c r="A332" i="85" s="1"/>
  <c r="A333" i="85" s="1"/>
  <c r="A334" i="85" s="1"/>
  <c r="A335" i="85" s="1"/>
  <c r="A336" i="85" s="1"/>
  <c r="A337" i="85" s="1"/>
  <c r="A338" i="85" s="1"/>
  <c r="A339" i="85" s="1"/>
  <c r="A340" i="85" s="1"/>
  <c r="A341" i="85" s="1"/>
  <c r="A342" i="85" s="1"/>
  <c r="A343" i="85" s="1"/>
  <c r="A344" i="85" s="1"/>
  <c r="A345" i="85" s="1"/>
  <c r="A346" i="85" s="1"/>
  <c r="A347" i="85" s="1"/>
  <c r="A286" i="85"/>
  <c r="A287" i="85" s="1"/>
  <c r="A288" i="85" s="1"/>
  <c r="A289" i="85" s="1"/>
  <c r="A290" i="85" s="1"/>
  <c r="A291" i="85" s="1"/>
  <c r="A292" i="85" s="1"/>
  <c r="A293" i="85" s="1"/>
  <c r="A294" i="85" s="1"/>
  <c r="A295" i="85" s="1"/>
  <c r="A296" i="85" s="1"/>
  <c r="A297" i="85" s="1"/>
  <c r="A298" i="85" s="1"/>
  <c r="A299" i="85" s="1"/>
  <c r="A300" i="85" s="1"/>
  <c r="A301" i="85" s="1"/>
  <c r="A302" i="85" s="1"/>
  <c r="A303" i="85" s="1"/>
  <c r="A304" i="85" s="1"/>
  <c r="A305" i="85" s="1"/>
  <c r="A306" i="85" s="1"/>
  <c r="A307" i="85" s="1"/>
  <c r="A308" i="85" s="1"/>
  <c r="A309" i="85" s="1"/>
  <c r="A310" i="85" s="1"/>
  <c r="A311" i="85" s="1"/>
  <c r="A312" i="85" s="1"/>
  <c r="A313" i="85" s="1"/>
  <c r="A314" i="85" s="1"/>
  <c r="A315" i="85" s="1"/>
  <c r="A316" i="85" s="1"/>
  <c r="E316" i="85"/>
  <c r="E315" i="85"/>
  <c r="E314" i="85"/>
  <c r="E313" i="85"/>
  <c r="E312" i="85"/>
  <c r="E311" i="85"/>
  <c r="E310" i="85"/>
  <c r="E309" i="85"/>
  <c r="E308" i="85"/>
  <c r="E307" i="85"/>
  <c r="E306" i="85"/>
  <c r="E305" i="85"/>
  <c r="E304" i="85"/>
  <c r="E303" i="85"/>
  <c r="E302" i="85"/>
  <c r="E301" i="85"/>
  <c r="E300" i="85"/>
  <c r="E299" i="85"/>
  <c r="E298" i="85"/>
  <c r="E297" i="85"/>
  <c r="E296" i="85"/>
  <c r="E295" i="85"/>
  <c r="E294" i="85"/>
  <c r="E293" i="85"/>
  <c r="E292" i="85"/>
  <c r="E291" i="85"/>
  <c r="E290" i="85"/>
  <c r="E289" i="85"/>
  <c r="E288" i="85"/>
  <c r="E287" i="85"/>
  <c r="E286" i="85"/>
  <c r="A255" i="85"/>
  <c r="A256" i="85" s="1"/>
  <c r="A257" i="85" s="1"/>
  <c r="A258" i="85" s="1"/>
  <c r="A259" i="85" s="1"/>
  <c r="A260" i="85" s="1"/>
  <c r="A261" i="85" s="1"/>
  <c r="A262" i="85" s="1"/>
  <c r="A263" i="85" s="1"/>
  <c r="A264" i="85" s="1"/>
  <c r="A265" i="85" s="1"/>
  <c r="A266" i="85" s="1"/>
  <c r="A267" i="85" s="1"/>
  <c r="A268" i="85" s="1"/>
  <c r="A269" i="85" s="1"/>
  <c r="A270" i="85" s="1"/>
  <c r="A271" i="85" s="1"/>
  <c r="A272" i="85" s="1"/>
  <c r="A273" i="85" s="1"/>
  <c r="A274" i="85" s="1"/>
  <c r="A275" i="85" s="1"/>
  <c r="A276" i="85" s="1"/>
  <c r="A277" i="85" s="1"/>
  <c r="A278" i="85" s="1"/>
  <c r="A279" i="85" s="1"/>
  <c r="A280" i="85" s="1"/>
  <c r="A281" i="85" s="1"/>
  <c r="A282" i="85" s="1"/>
  <c r="A283" i="85" s="1"/>
  <c r="A284" i="85" s="1"/>
  <c r="E284" i="85"/>
  <c r="E283" i="85"/>
  <c r="E282" i="85"/>
  <c r="E281" i="85"/>
  <c r="E280" i="85"/>
  <c r="E279" i="85"/>
  <c r="E278" i="85"/>
  <c r="E277" i="85"/>
  <c r="E276" i="85"/>
  <c r="E275" i="85"/>
  <c r="E274" i="85"/>
  <c r="E273" i="85"/>
  <c r="E272" i="85"/>
  <c r="E271" i="85"/>
  <c r="E270" i="85"/>
  <c r="E269" i="85"/>
  <c r="E268" i="85"/>
  <c r="E267" i="85"/>
  <c r="E266" i="85"/>
  <c r="E265" i="85"/>
  <c r="E264" i="85"/>
  <c r="E263" i="85"/>
  <c r="E262" i="85"/>
  <c r="E261" i="85"/>
  <c r="E260" i="85"/>
  <c r="E259" i="85"/>
  <c r="E258" i="85"/>
  <c r="E257" i="85"/>
  <c r="E256" i="85"/>
  <c r="E255" i="85"/>
  <c r="A223" i="85"/>
  <c r="A224" i="85" s="1"/>
  <c r="A225" i="85" s="1"/>
  <c r="A226" i="85" s="1"/>
  <c r="A227" i="85" s="1"/>
  <c r="A228" i="85" s="1"/>
  <c r="A229" i="85" s="1"/>
  <c r="A230" i="85" s="1"/>
  <c r="A231" i="85" s="1"/>
  <c r="A232" i="85" s="1"/>
  <c r="A233" i="85" s="1"/>
  <c r="A234" i="85" s="1"/>
  <c r="A235" i="85" s="1"/>
  <c r="A236" i="85" s="1"/>
  <c r="A237" i="85" s="1"/>
  <c r="A238" i="85" s="1"/>
  <c r="A239" i="85" s="1"/>
  <c r="A240" i="85" s="1"/>
  <c r="A241" i="85" s="1"/>
  <c r="A242" i="85" s="1"/>
  <c r="A243" i="85" s="1"/>
  <c r="A244" i="85" s="1"/>
  <c r="A245" i="85" s="1"/>
  <c r="A246" i="85" s="1"/>
  <c r="A247" i="85" s="1"/>
  <c r="A248" i="85" s="1"/>
  <c r="A249" i="85" s="1"/>
  <c r="A250" i="85" s="1"/>
  <c r="A251" i="85" s="1"/>
  <c r="A252" i="85" s="1"/>
  <c r="A253" i="85" s="1"/>
  <c r="E253" i="85"/>
  <c r="E252" i="85"/>
  <c r="E251" i="85"/>
  <c r="E250" i="85"/>
  <c r="E249" i="85"/>
  <c r="E248" i="85"/>
  <c r="E247" i="85"/>
  <c r="E246" i="85"/>
  <c r="E245" i="85"/>
  <c r="E244" i="85"/>
  <c r="E243" i="85"/>
  <c r="E242" i="85"/>
  <c r="E241" i="85"/>
  <c r="E240" i="85"/>
  <c r="E239" i="85"/>
  <c r="E238" i="85"/>
  <c r="E237" i="85"/>
  <c r="E236" i="85"/>
  <c r="E235" i="85"/>
  <c r="E234" i="85"/>
  <c r="E233" i="85"/>
  <c r="E232" i="85"/>
  <c r="E231" i="85"/>
  <c r="E230" i="85"/>
  <c r="E229" i="85"/>
  <c r="E228" i="85"/>
  <c r="E227" i="85"/>
  <c r="E226" i="85"/>
  <c r="E225" i="85"/>
  <c r="E224" i="85"/>
  <c r="E223" i="85"/>
  <c r="A191" i="85"/>
  <c r="A192" i="85" s="1"/>
  <c r="A193" i="85" s="1"/>
  <c r="A194" i="85" s="1"/>
  <c r="A195" i="85" s="1"/>
  <c r="A196" i="85" s="1"/>
  <c r="A197" i="85" s="1"/>
  <c r="A198" i="85" s="1"/>
  <c r="A199" i="85" s="1"/>
  <c r="A200" i="85" s="1"/>
  <c r="A201" i="85" s="1"/>
  <c r="A202" i="85" s="1"/>
  <c r="A203" i="85" s="1"/>
  <c r="A204" i="85" s="1"/>
  <c r="A205" i="85" s="1"/>
  <c r="A206" i="85" s="1"/>
  <c r="A207" i="85" s="1"/>
  <c r="A208" i="85" s="1"/>
  <c r="A209" i="85" s="1"/>
  <c r="A210" i="85" s="1"/>
  <c r="A211" i="85" s="1"/>
  <c r="A212" i="85" s="1"/>
  <c r="A213" i="85" s="1"/>
  <c r="A214" i="85" s="1"/>
  <c r="A215" i="85" s="1"/>
  <c r="A216" i="85" s="1"/>
  <c r="A217" i="85" s="1"/>
  <c r="A218" i="85" s="1"/>
  <c r="A219" i="85" s="1"/>
  <c r="A220" i="85" s="1"/>
  <c r="A221" i="85" s="1"/>
  <c r="E221" i="85"/>
  <c r="E220" i="85"/>
  <c r="E219" i="85"/>
  <c r="E218" i="85"/>
  <c r="E217" i="85"/>
  <c r="E216" i="85"/>
  <c r="E215" i="85"/>
  <c r="E214" i="85"/>
  <c r="E213" i="85"/>
  <c r="E212" i="85"/>
  <c r="E211" i="85"/>
  <c r="E210" i="85"/>
  <c r="E209" i="85"/>
  <c r="E208" i="85"/>
  <c r="E207" i="85"/>
  <c r="E206" i="85"/>
  <c r="E205" i="85"/>
  <c r="E204" i="85"/>
  <c r="E203" i="85"/>
  <c r="E202" i="85"/>
  <c r="E201" i="85"/>
  <c r="E200" i="85"/>
  <c r="E199" i="85"/>
  <c r="E198" i="85"/>
  <c r="E197" i="85"/>
  <c r="E196" i="85"/>
  <c r="E195" i="85"/>
  <c r="E194" i="85"/>
  <c r="E193" i="85"/>
  <c r="E192" i="85"/>
  <c r="E191" i="85"/>
  <c r="A160" i="85"/>
  <c r="A161" i="85" s="1"/>
  <c r="A162" i="85" s="1"/>
  <c r="A163" i="85" s="1"/>
  <c r="A164" i="85" s="1"/>
  <c r="A165" i="85" s="1"/>
  <c r="A166" i="85" s="1"/>
  <c r="A167" i="85" s="1"/>
  <c r="A168" i="85" s="1"/>
  <c r="A169" i="85" s="1"/>
  <c r="A170" i="85" s="1"/>
  <c r="A171" i="85" s="1"/>
  <c r="A172" i="85" s="1"/>
  <c r="A173" i="85" s="1"/>
  <c r="A174" i="85" s="1"/>
  <c r="A175" i="85" s="1"/>
  <c r="A176" i="85" s="1"/>
  <c r="A177" i="85" s="1"/>
  <c r="A178" i="85" s="1"/>
  <c r="A179" i="85" s="1"/>
  <c r="A180" i="85" s="1"/>
  <c r="A181" i="85" s="1"/>
  <c r="A182" i="85" s="1"/>
  <c r="A183" i="85" s="1"/>
  <c r="A184" i="85" s="1"/>
  <c r="A185" i="85" s="1"/>
  <c r="A186" i="85" s="1"/>
  <c r="A187" i="85" s="1"/>
  <c r="A188" i="85" s="1"/>
  <c r="A189" i="85" s="1"/>
  <c r="E189" i="85"/>
  <c r="E188" i="85"/>
  <c r="E187" i="85"/>
  <c r="E186" i="85"/>
  <c r="E185" i="85"/>
  <c r="E184" i="85"/>
  <c r="E183" i="85"/>
  <c r="E182" i="85"/>
  <c r="E181" i="85"/>
  <c r="E180" i="85"/>
  <c r="E179" i="85"/>
  <c r="E178" i="85"/>
  <c r="E177" i="85"/>
  <c r="E176" i="85"/>
  <c r="E175" i="85"/>
  <c r="E174" i="85"/>
  <c r="E173" i="85"/>
  <c r="E172" i="85"/>
  <c r="E171" i="85"/>
  <c r="E170" i="85"/>
  <c r="E169" i="85"/>
  <c r="E168" i="85"/>
  <c r="E167" i="85"/>
  <c r="E166" i="85"/>
  <c r="E165" i="85"/>
  <c r="E164" i="85"/>
  <c r="E163" i="85"/>
  <c r="E162" i="85"/>
  <c r="E161" i="85"/>
  <c r="E160" i="85"/>
  <c r="A128" i="85"/>
  <c r="A129" i="85" s="1"/>
  <c r="A130" i="85" s="1"/>
  <c r="A131" i="85" s="1"/>
  <c r="A132" i="85" s="1"/>
  <c r="A133" i="85" s="1"/>
  <c r="A134" i="85" s="1"/>
  <c r="A135" i="85" s="1"/>
  <c r="A136" i="85" s="1"/>
  <c r="A137" i="85" s="1"/>
  <c r="A138" i="85" s="1"/>
  <c r="A139" i="85" s="1"/>
  <c r="A140" i="85" s="1"/>
  <c r="A141" i="85" s="1"/>
  <c r="A142" i="85" s="1"/>
  <c r="A143" i="85" s="1"/>
  <c r="A144" i="85" s="1"/>
  <c r="A145" i="85" s="1"/>
  <c r="A146" i="85" s="1"/>
  <c r="A147" i="85" s="1"/>
  <c r="A148" i="85" s="1"/>
  <c r="A149" i="85" s="1"/>
  <c r="A150" i="85" s="1"/>
  <c r="A151" i="85" s="1"/>
  <c r="A152" i="85" s="1"/>
  <c r="A153" i="85" s="1"/>
  <c r="A154" i="85" s="1"/>
  <c r="A155" i="85" s="1"/>
  <c r="A156" i="85" s="1"/>
  <c r="A157" i="85" s="1"/>
  <c r="A158" i="85" s="1"/>
  <c r="A97" i="85"/>
  <c r="A98" i="85" s="1"/>
  <c r="A99" i="85" s="1"/>
  <c r="A100" i="85" s="1"/>
  <c r="A101" i="85" s="1"/>
  <c r="A102" i="85" s="1"/>
  <c r="A103" i="85" s="1"/>
  <c r="A104" i="85" s="1"/>
  <c r="A105" i="85" s="1"/>
  <c r="A106" i="85" s="1"/>
  <c r="A107" i="85" s="1"/>
  <c r="A108" i="85" s="1"/>
  <c r="A109" i="85" s="1"/>
  <c r="A110" i="85" s="1"/>
  <c r="A111" i="85" s="1"/>
  <c r="A112" i="85" s="1"/>
  <c r="A113" i="85" s="1"/>
  <c r="A114" i="85" s="1"/>
  <c r="A115" i="85" s="1"/>
  <c r="A116" i="85" s="1"/>
  <c r="A117" i="85" s="1"/>
  <c r="A118" i="85" s="1"/>
  <c r="A119" i="85" s="1"/>
  <c r="A120" i="85" s="1"/>
  <c r="A121" i="85" s="1"/>
  <c r="A122" i="85" s="1"/>
  <c r="A123" i="85" s="1"/>
  <c r="A124" i="85" s="1"/>
  <c r="A125" i="85" s="1"/>
  <c r="A126" i="85" s="1"/>
  <c r="A65" i="85"/>
  <c r="A66" i="85" s="1"/>
  <c r="A67" i="85" s="1"/>
  <c r="A68" i="85" s="1"/>
  <c r="A69" i="85" s="1"/>
  <c r="A70" i="85" s="1"/>
  <c r="A71" i="85" s="1"/>
  <c r="A72" i="85" s="1"/>
  <c r="A73" i="85" s="1"/>
  <c r="A74" i="85" s="1"/>
  <c r="A75" i="85" s="1"/>
  <c r="A76" i="85" s="1"/>
  <c r="A77" i="85" s="1"/>
  <c r="A78" i="85" s="1"/>
  <c r="A79" i="85" s="1"/>
  <c r="A80" i="85" s="1"/>
  <c r="A81" i="85" s="1"/>
  <c r="A82" i="85" s="1"/>
  <c r="A83" i="85" s="1"/>
  <c r="A84" i="85" s="1"/>
  <c r="A85" i="85" s="1"/>
  <c r="A86" i="85" s="1"/>
  <c r="A87" i="85" s="1"/>
  <c r="A88" i="85" s="1"/>
  <c r="A89" i="85" s="1"/>
  <c r="A90" i="85" s="1"/>
  <c r="A91" i="85" s="1"/>
  <c r="A92" i="85" s="1"/>
  <c r="A93" i="85" s="1"/>
  <c r="A94" i="85" s="1"/>
  <c r="A95" i="85" s="1"/>
  <c r="A35" i="85"/>
  <c r="A36" i="85" s="1"/>
  <c r="A37" i="85" s="1"/>
  <c r="A38" i="85" s="1"/>
  <c r="A39" i="85" s="1"/>
  <c r="A40" i="85" s="1"/>
  <c r="A41" i="85" s="1"/>
  <c r="A42" i="85" s="1"/>
  <c r="A43" i="85" s="1"/>
  <c r="A44" i="85" s="1"/>
  <c r="A45" i="85" s="1"/>
  <c r="A46" i="85" s="1"/>
  <c r="A47" i="85" s="1"/>
  <c r="A48" i="85" s="1"/>
  <c r="A49" i="85" s="1"/>
  <c r="A50" i="85" s="1"/>
  <c r="A51" i="85" s="1"/>
  <c r="A52" i="85" s="1"/>
  <c r="A53" i="85" s="1"/>
  <c r="A54" i="85" s="1"/>
  <c r="A55" i="85" s="1"/>
  <c r="A56" i="85" s="1"/>
  <c r="A57" i="85" s="1"/>
  <c r="A58" i="85" s="1"/>
  <c r="A59" i="85" s="1"/>
  <c r="A60" i="85" s="1"/>
  <c r="A61" i="85" s="1"/>
  <c r="A62" i="85" s="1"/>
  <c r="A3" i="85"/>
  <c r="A4" i="85" s="1"/>
  <c r="A5" i="85" s="1"/>
  <c r="A6" i="85" s="1"/>
  <c r="A7" i="85" s="1"/>
  <c r="A8" i="85" s="1"/>
  <c r="A9" i="85" s="1"/>
  <c r="E147" i="85"/>
  <c r="E148" i="85"/>
  <c r="E149" i="85"/>
  <c r="E150" i="85"/>
  <c r="E151" i="85"/>
  <c r="E152" i="85"/>
  <c r="E153" i="85"/>
  <c r="E154" i="85"/>
  <c r="E155" i="85"/>
  <c r="E156" i="85"/>
  <c r="E157" i="85"/>
  <c r="E158" i="85"/>
  <c r="E146" i="85"/>
  <c r="E145" i="85"/>
  <c r="E144" i="85"/>
  <c r="E143" i="85"/>
  <c r="E142" i="85"/>
  <c r="E141" i="85"/>
  <c r="E140" i="85"/>
  <c r="E139" i="85"/>
  <c r="E138" i="85"/>
  <c r="E137" i="85"/>
  <c r="E136" i="85"/>
  <c r="E135" i="85"/>
  <c r="E134" i="85"/>
  <c r="E133" i="85"/>
  <c r="E132" i="85"/>
  <c r="E131" i="85"/>
  <c r="E130" i="85"/>
  <c r="E129" i="85"/>
  <c r="E128" i="85"/>
  <c r="E126" i="85"/>
  <c r="E125" i="85"/>
  <c r="E124" i="85"/>
  <c r="E123" i="85"/>
  <c r="E122" i="85"/>
  <c r="E121" i="85"/>
  <c r="E120" i="85"/>
  <c r="E119" i="85"/>
  <c r="E118" i="85"/>
  <c r="E117" i="85"/>
  <c r="E116" i="85"/>
  <c r="E115" i="85"/>
  <c r="E114" i="85"/>
  <c r="E113" i="85"/>
  <c r="E112" i="85"/>
  <c r="E111" i="85"/>
  <c r="E110" i="85"/>
  <c r="E109" i="85"/>
  <c r="E108" i="85"/>
  <c r="E107" i="85"/>
  <c r="E106" i="85"/>
  <c r="E105" i="85"/>
  <c r="E104" i="85"/>
  <c r="E103" i="85"/>
  <c r="E102" i="85"/>
  <c r="E101" i="85"/>
  <c r="E100" i="85"/>
  <c r="E99" i="85"/>
  <c r="E98" i="85"/>
  <c r="E97" i="85"/>
  <c r="E66" i="85"/>
  <c r="E67" i="85"/>
  <c r="E68" i="85"/>
  <c r="E69" i="85"/>
  <c r="E70" i="85"/>
  <c r="E71" i="85"/>
  <c r="E72" i="85"/>
  <c r="E73" i="85"/>
  <c r="E74" i="85"/>
  <c r="E75" i="85"/>
  <c r="E76" i="85"/>
  <c r="E77" i="85"/>
  <c r="E78" i="85"/>
  <c r="E79" i="85"/>
  <c r="E80" i="85"/>
  <c r="E81" i="85"/>
  <c r="E82" i="85"/>
  <c r="E83" i="85"/>
  <c r="E84" i="85"/>
  <c r="E85" i="85"/>
  <c r="E86" i="85"/>
  <c r="E87" i="85"/>
  <c r="E88" i="85"/>
  <c r="E89" i="85"/>
  <c r="E90" i="85"/>
  <c r="E91" i="85"/>
  <c r="E92" i="85"/>
  <c r="E93" i="85"/>
  <c r="E94" i="85"/>
  <c r="E95" i="85"/>
  <c r="E65" i="85"/>
  <c r="S31" i="79"/>
  <c r="E63" i="85"/>
  <c r="E62" i="85"/>
  <c r="E61" i="85"/>
  <c r="E60" i="85"/>
  <c r="E59" i="85"/>
  <c r="E58" i="85"/>
  <c r="E57" i="85"/>
  <c r="E56" i="85"/>
  <c r="E55" i="85"/>
  <c r="E54" i="85"/>
  <c r="E53" i="85"/>
  <c r="E52" i="85"/>
  <c r="E51" i="85"/>
  <c r="E50" i="85"/>
  <c r="E49" i="85"/>
  <c r="E48" i="85"/>
  <c r="E47" i="85"/>
  <c r="E46" i="85"/>
  <c r="E45" i="85"/>
  <c r="E44" i="85"/>
  <c r="E43" i="85"/>
  <c r="E42" i="85"/>
  <c r="E41" i="85"/>
  <c r="E40" i="85"/>
  <c r="E39" i="85"/>
  <c r="E38" i="85"/>
  <c r="E37" i="85"/>
  <c r="E36" i="85"/>
  <c r="E35" i="85"/>
  <c r="A63" i="85"/>
  <c r="E33" i="85"/>
  <c r="E30" i="85"/>
  <c r="E31" i="85"/>
  <c r="E32" i="85"/>
  <c r="G3" i="85"/>
  <c r="E4" i="85"/>
  <c r="E5" i="85"/>
  <c r="E6" i="85"/>
  <c r="E7" i="85"/>
  <c r="E8" i="85"/>
  <c r="E9" i="85"/>
  <c r="E10" i="85"/>
  <c r="E11" i="85"/>
  <c r="E12" i="85"/>
  <c r="E13" i="85"/>
  <c r="E14" i="85"/>
  <c r="E15" i="85"/>
  <c r="E16" i="85"/>
  <c r="E17" i="85"/>
  <c r="E18" i="85"/>
  <c r="E19" i="85"/>
  <c r="E20" i="85"/>
  <c r="E21" i="85"/>
  <c r="E22" i="85"/>
  <c r="E23" i="85"/>
  <c r="E24" i="85"/>
  <c r="E25" i="85"/>
  <c r="E26" i="85"/>
  <c r="E27" i="85"/>
  <c r="E28" i="85"/>
  <c r="E29" i="85"/>
  <c r="E3" i="85"/>
  <c r="G381" i="85" l="1"/>
  <c r="G382" i="85"/>
  <c r="G383" i="85"/>
  <c r="G384" i="85"/>
  <c r="G385" i="85"/>
  <c r="G386" i="85"/>
  <c r="G387" i="85"/>
  <c r="G388" i="85"/>
  <c r="G389" i="85"/>
  <c r="G390" i="85"/>
  <c r="G391" i="85"/>
  <c r="G392" i="85"/>
  <c r="G393" i="85"/>
  <c r="G394" i="85"/>
  <c r="G395" i="85"/>
  <c r="G349" i="85"/>
  <c r="G350" i="85"/>
  <c r="G351" i="85"/>
  <c r="G352" i="85"/>
  <c r="G353" i="85"/>
  <c r="G354" i="85"/>
  <c r="G355" i="85"/>
  <c r="G356" i="85"/>
  <c r="G357" i="85"/>
  <c r="G358" i="85"/>
  <c r="G359" i="85"/>
  <c r="G360" i="85"/>
  <c r="G361" i="85"/>
  <c r="G362" i="85"/>
  <c r="G363" i="85"/>
  <c r="G364" i="85"/>
  <c r="G365" i="85"/>
  <c r="G366" i="85"/>
  <c r="G367" i="85"/>
  <c r="G368" i="85"/>
  <c r="G369" i="85"/>
  <c r="G370" i="85"/>
  <c r="G371" i="85"/>
  <c r="G372" i="85"/>
  <c r="G373" i="85"/>
  <c r="G374" i="85"/>
  <c r="G375" i="85"/>
  <c r="G376" i="85"/>
  <c r="G377" i="85"/>
  <c r="G378" i="85"/>
  <c r="G379" i="85"/>
  <c r="G318" i="85"/>
  <c r="G319" i="85"/>
  <c r="G320" i="85"/>
  <c r="G321" i="85"/>
  <c r="G322" i="85"/>
  <c r="G323" i="85"/>
  <c r="G324" i="85"/>
  <c r="G325" i="85"/>
  <c r="G326" i="85"/>
  <c r="G327" i="85"/>
  <c r="G328" i="85"/>
  <c r="G329" i="85"/>
  <c r="G330" i="85"/>
  <c r="G331" i="85"/>
  <c r="G332" i="85"/>
  <c r="G333" i="85"/>
  <c r="G334" i="85"/>
  <c r="G335" i="85"/>
  <c r="G336" i="85"/>
  <c r="G337" i="85"/>
  <c r="G338" i="85"/>
  <c r="G339" i="85"/>
  <c r="G340" i="85"/>
  <c r="G341" i="85"/>
  <c r="G342" i="85"/>
  <c r="G343" i="85"/>
  <c r="G344" i="85"/>
  <c r="G345" i="85"/>
  <c r="G346" i="85"/>
  <c r="G347" i="85"/>
  <c r="G286" i="85"/>
  <c r="G287" i="85"/>
  <c r="G288" i="85"/>
  <c r="G289" i="85"/>
  <c r="G290" i="85"/>
  <c r="G291" i="85"/>
  <c r="G292" i="85"/>
  <c r="G293" i="85"/>
  <c r="G294" i="85"/>
  <c r="G295" i="85"/>
  <c r="G296" i="85"/>
  <c r="G297" i="85"/>
  <c r="G298" i="85"/>
  <c r="G299" i="85"/>
  <c r="G300" i="85"/>
  <c r="G301" i="85"/>
  <c r="G302" i="85"/>
  <c r="G303" i="85"/>
  <c r="G304" i="85"/>
  <c r="G305" i="85"/>
  <c r="G306" i="85"/>
  <c r="G307" i="85"/>
  <c r="G308" i="85"/>
  <c r="G309" i="85"/>
  <c r="G310" i="85"/>
  <c r="G311" i="85"/>
  <c r="G312" i="85"/>
  <c r="G313" i="85"/>
  <c r="G314" i="85"/>
  <c r="G315" i="85"/>
  <c r="G316" i="85"/>
  <c r="G255" i="85"/>
  <c r="G256" i="85"/>
  <c r="G257" i="85"/>
  <c r="G258" i="85"/>
  <c r="G259" i="85"/>
  <c r="G260" i="85"/>
  <c r="G261" i="85"/>
  <c r="G262" i="85"/>
  <c r="G263" i="85"/>
  <c r="G264" i="85"/>
  <c r="G265" i="85"/>
  <c r="G266" i="85"/>
  <c r="G267" i="85"/>
  <c r="G268" i="85"/>
  <c r="G269" i="85"/>
  <c r="G270" i="85"/>
  <c r="G271" i="85"/>
  <c r="G272" i="85"/>
  <c r="G273" i="85"/>
  <c r="G274" i="85"/>
  <c r="G275" i="85"/>
  <c r="G276" i="85"/>
  <c r="G277" i="85"/>
  <c r="G278" i="85"/>
  <c r="G279" i="85"/>
  <c r="G280" i="85"/>
  <c r="G281" i="85"/>
  <c r="G282" i="85"/>
  <c r="G283" i="85"/>
  <c r="G284" i="85"/>
  <c r="G223" i="85"/>
  <c r="G224" i="85"/>
  <c r="G225" i="85"/>
  <c r="G226" i="85"/>
  <c r="G227" i="85"/>
  <c r="G228" i="85"/>
  <c r="G229" i="85"/>
  <c r="G230" i="85"/>
  <c r="G231" i="85"/>
  <c r="G232" i="85"/>
  <c r="G233" i="85"/>
  <c r="G234" i="85"/>
  <c r="G235" i="85"/>
  <c r="G236" i="85"/>
  <c r="G237" i="85"/>
  <c r="G238" i="85"/>
  <c r="G239" i="85"/>
  <c r="G240" i="85"/>
  <c r="G241" i="85"/>
  <c r="G242" i="85"/>
  <c r="G243" i="85"/>
  <c r="G244" i="85"/>
  <c r="G245" i="85"/>
  <c r="G246" i="85"/>
  <c r="G247" i="85"/>
  <c r="G248" i="85"/>
  <c r="G249" i="85"/>
  <c r="G250" i="85"/>
  <c r="G251" i="85"/>
  <c r="G252" i="85"/>
  <c r="G253" i="85"/>
  <c r="G191" i="85"/>
  <c r="G192" i="85"/>
  <c r="G193" i="85"/>
  <c r="G194" i="85"/>
  <c r="G195" i="85"/>
  <c r="G196" i="85"/>
  <c r="G197" i="85"/>
  <c r="G198" i="85"/>
  <c r="G199" i="85"/>
  <c r="G200" i="85"/>
  <c r="G201" i="85"/>
  <c r="G202" i="85"/>
  <c r="G203" i="85"/>
  <c r="G204" i="85"/>
  <c r="G205" i="85"/>
  <c r="G206" i="85"/>
  <c r="G207" i="85"/>
  <c r="G208" i="85"/>
  <c r="G209" i="85"/>
  <c r="G210" i="85"/>
  <c r="G211" i="85"/>
  <c r="G212" i="85"/>
  <c r="G213" i="85"/>
  <c r="G214" i="85"/>
  <c r="G215" i="85"/>
  <c r="G216" i="85"/>
  <c r="G217" i="85"/>
  <c r="G218" i="85"/>
  <c r="G219" i="85"/>
  <c r="G220" i="85"/>
  <c r="G221" i="85"/>
  <c r="G160" i="85"/>
  <c r="G161" i="85"/>
  <c r="G162" i="85"/>
  <c r="G163" i="85"/>
  <c r="G164" i="85"/>
  <c r="G165" i="85"/>
  <c r="G166" i="85"/>
  <c r="G167" i="85"/>
  <c r="G168" i="85"/>
  <c r="G169" i="85"/>
  <c r="G170" i="85"/>
  <c r="G171" i="85"/>
  <c r="G172" i="85"/>
  <c r="G173" i="85"/>
  <c r="G174" i="85"/>
  <c r="G175" i="85"/>
  <c r="G176" i="85"/>
  <c r="G177" i="85"/>
  <c r="G178" i="85"/>
  <c r="G179" i="85"/>
  <c r="G180" i="85"/>
  <c r="G181" i="85"/>
  <c r="G182" i="85"/>
  <c r="G183" i="85"/>
  <c r="G184" i="85"/>
  <c r="G185" i="85"/>
  <c r="G186" i="85"/>
  <c r="G187" i="85"/>
  <c r="G188" i="85"/>
  <c r="G189" i="85"/>
  <c r="A10" i="85"/>
  <c r="A11" i="85" s="1"/>
  <c r="A12" i="85" s="1"/>
  <c r="A13" i="85" s="1"/>
  <c r="A14" i="85" s="1"/>
  <c r="A15" i="85" s="1"/>
  <c r="A16" i="85" s="1"/>
  <c r="A17" i="85" s="1"/>
  <c r="A18" i="85" s="1"/>
  <c r="A19" i="85" s="1"/>
  <c r="A20" i="85" s="1"/>
  <c r="A21" i="85" s="1"/>
  <c r="A22" i="85" s="1"/>
  <c r="A23" i="85" s="1"/>
  <c r="A24" i="85" s="1"/>
  <c r="A25" i="85" s="1"/>
  <c r="A26" i="85" s="1"/>
  <c r="A27" i="85" s="1"/>
  <c r="A28" i="85" s="1"/>
  <c r="A29" i="85" s="1"/>
  <c r="A30" i="85" s="1"/>
  <c r="A31" i="85" s="1"/>
  <c r="A32" i="85" s="1"/>
  <c r="A33" i="85" s="1"/>
  <c r="G158" i="85"/>
  <c r="G154" i="85"/>
  <c r="G150" i="85"/>
  <c r="G155" i="85"/>
  <c r="G151" i="85"/>
  <c r="G147" i="85"/>
  <c r="G156" i="85"/>
  <c r="G152" i="85"/>
  <c r="G148" i="85"/>
  <c r="G157" i="85"/>
  <c r="G153" i="85"/>
  <c r="G149" i="85"/>
  <c r="G101" i="85"/>
  <c r="G141" i="85"/>
  <c r="G109" i="85"/>
  <c r="G129" i="85"/>
  <c r="G125" i="85"/>
  <c r="G133" i="85"/>
  <c r="G108" i="85"/>
  <c r="G128" i="85"/>
  <c r="G132" i="85"/>
  <c r="G136" i="85"/>
  <c r="G140" i="85"/>
  <c r="G144" i="85"/>
  <c r="G145" i="85"/>
  <c r="G100" i="85"/>
  <c r="G113" i="85"/>
  <c r="G97" i="85"/>
  <c r="G105" i="85"/>
  <c r="G117" i="85"/>
  <c r="G131" i="85"/>
  <c r="G135" i="85"/>
  <c r="G139" i="85"/>
  <c r="G143" i="85"/>
  <c r="G104" i="85"/>
  <c r="G121" i="85"/>
  <c r="G130" i="85"/>
  <c r="G134" i="85"/>
  <c r="G138" i="85"/>
  <c r="G142" i="85"/>
  <c r="G146" i="85"/>
  <c r="G112" i="85"/>
  <c r="G116" i="85"/>
  <c r="G120" i="85"/>
  <c r="G124" i="85"/>
  <c r="G99" i="85"/>
  <c r="G103" i="85"/>
  <c r="G107" i="85"/>
  <c r="G111" i="85"/>
  <c r="G115" i="85"/>
  <c r="G119" i="85"/>
  <c r="G123" i="85"/>
  <c r="G98" i="85"/>
  <c r="G102" i="85"/>
  <c r="G106" i="85"/>
  <c r="G110" i="85"/>
  <c r="G114" i="85"/>
  <c r="G118" i="85"/>
  <c r="G122" i="85"/>
  <c r="G126" i="85"/>
  <c r="G93" i="85"/>
  <c r="G89" i="85"/>
  <c r="G85" i="85"/>
  <c r="G81" i="85"/>
  <c r="G77" i="85"/>
  <c r="G73" i="85"/>
  <c r="G69" i="85"/>
  <c r="G94" i="85"/>
  <c r="G90" i="85"/>
  <c r="G86" i="85"/>
  <c r="G82" i="85"/>
  <c r="G78" i="85"/>
  <c r="G74" i="85"/>
  <c r="G70" i="85"/>
  <c r="G66" i="85"/>
  <c r="G95" i="85"/>
  <c r="G91" i="85"/>
  <c r="G87" i="85"/>
  <c r="G83" i="85"/>
  <c r="G79" i="85"/>
  <c r="G75" i="85"/>
  <c r="G71" i="85"/>
  <c r="G67" i="85"/>
  <c r="G92" i="85"/>
  <c r="G88" i="85"/>
  <c r="G84" i="85"/>
  <c r="G80" i="85"/>
  <c r="G76" i="85"/>
  <c r="G72" i="85"/>
  <c r="G68" i="85"/>
  <c r="G65" i="85"/>
  <c r="G38" i="85"/>
  <c r="G46" i="85"/>
  <c r="G62" i="85"/>
  <c r="G41" i="85"/>
  <c r="G58" i="85"/>
  <c r="G37" i="85"/>
  <c r="G45" i="85"/>
  <c r="G50" i="85"/>
  <c r="G42" i="85"/>
  <c r="G54" i="85"/>
  <c r="G53" i="85"/>
  <c r="G57" i="85"/>
  <c r="G61" i="85"/>
  <c r="G49" i="85"/>
  <c r="G36" i="85"/>
  <c r="G40" i="85"/>
  <c r="G44" i="85"/>
  <c r="G48" i="85"/>
  <c r="G52" i="85"/>
  <c r="G56" i="85"/>
  <c r="G60" i="85"/>
  <c r="G39" i="85"/>
  <c r="G43" i="85"/>
  <c r="G47" i="85"/>
  <c r="G51" i="85"/>
  <c r="G55" i="85"/>
  <c r="G59" i="85"/>
  <c r="G63" i="85"/>
  <c r="G35" i="85"/>
  <c r="G33" i="85"/>
  <c r="G30" i="85"/>
  <c r="G31" i="85"/>
  <c r="G32" i="85"/>
  <c r="G6" i="85"/>
  <c r="G10" i="85"/>
  <c r="G14" i="85"/>
  <c r="G18" i="85"/>
  <c r="G22" i="85"/>
  <c r="G26" i="85"/>
  <c r="G11" i="85"/>
  <c r="G7" i="85"/>
  <c r="G15" i="85"/>
  <c r="G19" i="85"/>
  <c r="G23" i="85"/>
  <c r="G27" i="85"/>
  <c r="G4" i="85"/>
  <c r="G8" i="85"/>
  <c r="G12" i="85"/>
  <c r="G16" i="85"/>
  <c r="G20" i="85"/>
  <c r="G24" i="85"/>
  <c r="G28" i="85"/>
  <c r="G5" i="85"/>
  <c r="G9" i="85"/>
  <c r="G13" i="85"/>
  <c r="G17" i="85"/>
  <c r="G21" i="85"/>
  <c r="G25" i="85"/>
  <c r="G29" i="85"/>
  <c r="S32" i="79" l="1"/>
  <c r="S33" i="79"/>
  <c r="AE49" i="79" l="1"/>
  <c r="AE48" i="79"/>
  <c r="AE47" i="79"/>
  <c r="AE46" i="79"/>
  <c r="AE45" i="79"/>
  <c r="AE44" i="79"/>
  <c r="AE43" i="79"/>
  <c r="AE42" i="79"/>
  <c r="AE41" i="79"/>
  <c r="AE40" i="79"/>
  <c r="AE39" i="79"/>
  <c r="AE38" i="79"/>
  <c r="AR33" i="79"/>
  <c r="V33" i="79"/>
  <c r="V32" i="79"/>
  <c r="EE17" i="79"/>
  <c r="EE16" i="79"/>
  <c r="EE15" i="79"/>
  <c r="EE14" i="79"/>
  <c r="EE13" i="79"/>
  <c r="EE12" i="79"/>
  <c r="EE11" i="79"/>
  <c r="EE10" i="79"/>
  <c r="EE9" i="79"/>
  <c r="EE8" i="79"/>
  <c r="EE7" i="79"/>
  <c r="EE6" i="79"/>
  <c r="EE5" i="79"/>
  <c r="EE4" i="79"/>
  <c r="DT33" i="79"/>
  <c r="DT32" i="79"/>
  <c r="DT31" i="79"/>
  <c r="DT30" i="79"/>
  <c r="DT29" i="79"/>
  <c r="DT28" i="79"/>
  <c r="DT27" i="79"/>
  <c r="DT26" i="79"/>
  <c r="DT25" i="79"/>
  <c r="DT24" i="79"/>
  <c r="DT23" i="79"/>
  <c r="DT22" i="79"/>
  <c r="DT21" i="79"/>
  <c r="DT20" i="79"/>
  <c r="DT19" i="79"/>
  <c r="DT18" i="79"/>
  <c r="DT17" i="79"/>
  <c r="DT16" i="79"/>
  <c r="DT15" i="79"/>
  <c r="DT14" i="79"/>
  <c r="DT13" i="79"/>
  <c r="DT12" i="79"/>
  <c r="DT11" i="79"/>
  <c r="DT10" i="79"/>
  <c r="DT9" i="79"/>
  <c r="DT8" i="79"/>
  <c r="DT7" i="79"/>
  <c r="DT6" i="79"/>
  <c r="DT5" i="79"/>
  <c r="DT4" i="79"/>
  <c r="DT3" i="79"/>
  <c r="DI32" i="79"/>
  <c r="DI31" i="79"/>
  <c r="DI30" i="79"/>
  <c r="DI29" i="79"/>
  <c r="DI28" i="79"/>
  <c r="DI27" i="79"/>
  <c r="DI26" i="79"/>
  <c r="DI25" i="79"/>
  <c r="DI24" i="79"/>
  <c r="DI23" i="79"/>
  <c r="DI22" i="79"/>
  <c r="DI21" i="79"/>
  <c r="DI20" i="79"/>
  <c r="DI19" i="79"/>
  <c r="DI18" i="79"/>
  <c r="DI17" i="79"/>
  <c r="DI16" i="79"/>
  <c r="DI15" i="79"/>
  <c r="DI14" i="79"/>
  <c r="DI13" i="79"/>
  <c r="DI12" i="79"/>
  <c r="DI11" i="79"/>
  <c r="DI10" i="79"/>
  <c r="DI9" i="79"/>
  <c r="DI8" i="79"/>
  <c r="DI7" i="79"/>
  <c r="DI6" i="79"/>
  <c r="DI5" i="79"/>
  <c r="DI4" i="79"/>
  <c r="DI3" i="79"/>
  <c r="CX33" i="79"/>
  <c r="CX32" i="79"/>
  <c r="CX31" i="79"/>
  <c r="CX30" i="79"/>
  <c r="CX29" i="79"/>
  <c r="CX28" i="79"/>
  <c r="CX27" i="79"/>
  <c r="CX26" i="79"/>
  <c r="CX25" i="79"/>
  <c r="CX24" i="79"/>
  <c r="CX23" i="79"/>
  <c r="CX22" i="79"/>
  <c r="CX21" i="79"/>
  <c r="CX20" i="79"/>
  <c r="CX19" i="79"/>
  <c r="CX18" i="79"/>
  <c r="CX17" i="79"/>
  <c r="CX16" i="79"/>
  <c r="CX15" i="79"/>
  <c r="CX14" i="79"/>
  <c r="CX13" i="79"/>
  <c r="CX12" i="79"/>
  <c r="CX11" i="79"/>
  <c r="CX10" i="79"/>
  <c r="CX9" i="79"/>
  <c r="CX8" i="79"/>
  <c r="CX7" i="79"/>
  <c r="CX6" i="79"/>
  <c r="CX5" i="79"/>
  <c r="CX4" i="79"/>
  <c r="CX3" i="79"/>
  <c r="EE3" i="79"/>
  <c r="CM32" i="79"/>
  <c r="CM31" i="79"/>
  <c r="CM30" i="79"/>
  <c r="CM29" i="79"/>
  <c r="CM28" i="79"/>
  <c r="CM27" i="79"/>
  <c r="CM26" i="79"/>
  <c r="CM25" i="79"/>
  <c r="CM24" i="79"/>
  <c r="CM23" i="79"/>
  <c r="CM22" i="79"/>
  <c r="CM21" i="79"/>
  <c r="CM20" i="79"/>
  <c r="CM19" i="79"/>
  <c r="CM18" i="79"/>
  <c r="CM17" i="79"/>
  <c r="CM16" i="79"/>
  <c r="CM15" i="79"/>
  <c r="CM14" i="79"/>
  <c r="CM13" i="79"/>
  <c r="CM12" i="79"/>
  <c r="CM11" i="79"/>
  <c r="CM10" i="79"/>
  <c r="CM9" i="79"/>
  <c r="CM8" i="79"/>
  <c r="CM7" i="79"/>
  <c r="CM6" i="79"/>
  <c r="CM5" i="79"/>
  <c r="CM4" i="79"/>
  <c r="CM3" i="79"/>
  <c r="CB33" i="79"/>
  <c r="CB32" i="79"/>
  <c r="CB31" i="79"/>
  <c r="CB30" i="79"/>
  <c r="CB29" i="79"/>
  <c r="CB28" i="79"/>
  <c r="CB27" i="79"/>
  <c r="CB26" i="79"/>
  <c r="CB25" i="79"/>
  <c r="CB24" i="79"/>
  <c r="CB23" i="79"/>
  <c r="CB22" i="79"/>
  <c r="CB21" i="79"/>
  <c r="CB20" i="79"/>
  <c r="CB19" i="79"/>
  <c r="CB18" i="79"/>
  <c r="CB17" i="79"/>
  <c r="CB16" i="79"/>
  <c r="CB15" i="79"/>
  <c r="CB14" i="79"/>
  <c r="CB13" i="79"/>
  <c r="CB12" i="79"/>
  <c r="CB11" i="79"/>
  <c r="CB10" i="79"/>
  <c r="CB9" i="79"/>
  <c r="CB8" i="79"/>
  <c r="CB7" i="79"/>
  <c r="CB6" i="79"/>
  <c r="CB5" i="79"/>
  <c r="CB4" i="79"/>
  <c r="CB3" i="79"/>
  <c r="BQ33" i="79"/>
  <c r="BQ32" i="79"/>
  <c r="BQ31" i="79"/>
  <c r="BQ30" i="79"/>
  <c r="BQ29" i="79"/>
  <c r="BQ28" i="79"/>
  <c r="BQ27" i="79"/>
  <c r="BQ26" i="79"/>
  <c r="BQ25" i="79"/>
  <c r="BQ24" i="79"/>
  <c r="BQ23" i="79"/>
  <c r="BQ22" i="79"/>
  <c r="BQ21" i="79"/>
  <c r="BQ20" i="79"/>
  <c r="BQ19" i="79"/>
  <c r="BQ18" i="79"/>
  <c r="BQ17" i="79"/>
  <c r="BQ16" i="79"/>
  <c r="BQ15" i="79"/>
  <c r="BQ14" i="79"/>
  <c r="BQ13" i="79"/>
  <c r="BQ12" i="79"/>
  <c r="BQ11" i="79"/>
  <c r="BQ10" i="79"/>
  <c r="BQ9" i="79"/>
  <c r="BQ8" i="79"/>
  <c r="BQ7" i="79"/>
  <c r="BQ6" i="79"/>
  <c r="BQ5" i="79"/>
  <c r="BQ4" i="79"/>
  <c r="BQ3" i="79"/>
  <c r="BF32" i="79"/>
  <c r="BF31" i="79"/>
  <c r="BF30" i="79"/>
  <c r="BF29" i="79"/>
  <c r="BF28" i="79"/>
  <c r="BF27" i="79"/>
  <c r="BF26" i="79"/>
  <c r="BF25" i="79"/>
  <c r="BF24" i="79"/>
  <c r="BF23" i="79"/>
  <c r="BF22" i="79"/>
  <c r="BF21" i="79"/>
  <c r="BF20" i="79"/>
  <c r="BF19" i="79"/>
  <c r="BF18" i="79"/>
  <c r="BF17" i="79"/>
  <c r="BF16" i="79"/>
  <c r="BF15" i="79"/>
  <c r="BF14" i="79"/>
  <c r="BF13" i="79"/>
  <c r="BF12" i="79"/>
  <c r="BF11" i="79"/>
  <c r="BF10" i="79"/>
  <c r="BF9" i="79"/>
  <c r="BF8" i="79"/>
  <c r="BF7" i="79"/>
  <c r="BF6" i="79"/>
  <c r="BF5" i="79"/>
  <c r="BF4" i="79"/>
  <c r="BF3" i="79"/>
  <c r="AU33" i="79"/>
  <c r="AU32" i="79"/>
  <c r="AU31" i="79"/>
  <c r="AU30" i="79"/>
  <c r="AU29" i="79"/>
  <c r="AU28" i="79"/>
  <c r="AU27" i="79"/>
  <c r="AU26" i="79"/>
  <c r="AU25" i="79"/>
  <c r="AU24" i="79"/>
  <c r="AU23" i="79"/>
  <c r="AU22" i="79"/>
  <c r="AU21" i="79"/>
  <c r="AU20" i="79"/>
  <c r="AU19" i="79"/>
  <c r="AU18" i="79"/>
  <c r="AU17" i="79"/>
  <c r="AU16" i="79"/>
  <c r="AU15" i="79"/>
  <c r="AU14" i="79"/>
  <c r="AU13" i="79"/>
  <c r="AU12" i="79"/>
  <c r="AU11" i="79"/>
  <c r="AU10" i="79"/>
  <c r="AU9" i="79"/>
  <c r="AU8" i="79"/>
  <c r="AU7" i="79"/>
  <c r="AU6" i="79"/>
  <c r="AU5" i="79"/>
  <c r="AU4" i="79"/>
  <c r="AU3" i="79"/>
  <c r="AJ32" i="79"/>
  <c r="AJ31" i="79"/>
  <c r="AJ30" i="79"/>
  <c r="AJ29" i="79"/>
  <c r="AJ28" i="79"/>
  <c r="AJ27" i="79"/>
  <c r="AJ26" i="79"/>
  <c r="AJ25" i="79"/>
  <c r="AJ24" i="79"/>
  <c r="AJ23" i="79"/>
  <c r="AJ22" i="79"/>
  <c r="AJ21" i="79"/>
  <c r="AJ20" i="79"/>
  <c r="AJ19" i="79"/>
  <c r="AJ18" i="79"/>
  <c r="AJ17" i="79"/>
  <c r="AJ16" i="79"/>
  <c r="AJ15" i="79"/>
  <c r="AJ14" i="79"/>
  <c r="AJ13" i="79"/>
  <c r="AJ12" i="79"/>
  <c r="AJ11" i="79"/>
  <c r="AJ10" i="79"/>
  <c r="AJ9" i="79"/>
  <c r="AJ8" i="79"/>
  <c r="AJ7" i="79"/>
  <c r="AJ6" i="79"/>
  <c r="AJ5" i="79"/>
  <c r="AJ4" i="79"/>
  <c r="AJ3" i="79"/>
  <c r="AQ13" i="79" l="1"/>
  <c r="AP13" i="79"/>
  <c r="AQ29" i="79"/>
  <c r="AP29" i="79"/>
  <c r="BB15" i="79"/>
  <c r="BA15" i="79"/>
  <c r="BB27" i="79"/>
  <c r="BA27" i="79"/>
  <c r="BM12" i="79"/>
  <c r="BL12" i="79"/>
  <c r="BM24" i="79"/>
  <c r="BL24" i="79"/>
  <c r="BX10" i="79"/>
  <c r="BW10" i="79"/>
  <c r="BX18" i="79"/>
  <c r="BW18" i="79"/>
  <c r="BX26" i="79"/>
  <c r="BW26" i="79"/>
  <c r="CI3" i="79"/>
  <c r="CH3" i="79"/>
  <c r="CI7" i="79"/>
  <c r="CH7" i="79"/>
  <c r="CI11" i="79"/>
  <c r="CH11" i="79"/>
  <c r="CI15" i="79"/>
  <c r="CH15" i="79"/>
  <c r="CI19" i="79"/>
  <c r="CH19" i="79"/>
  <c r="CI23" i="79"/>
  <c r="CH23" i="79"/>
  <c r="CI27" i="79"/>
  <c r="CH27" i="79"/>
  <c r="CI31" i="79"/>
  <c r="CH31" i="79"/>
  <c r="CT4" i="79"/>
  <c r="CS4" i="79"/>
  <c r="CT8" i="79"/>
  <c r="CS8" i="79"/>
  <c r="CT12" i="79"/>
  <c r="CS12" i="79"/>
  <c r="CT16" i="79"/>
  <c r="CS16" i="79"/>
  <c r="CT20" i="79"/>
  <c r="CS20" i="79"/>
  <c r="CT24" i="79"/>
  <c r="CS24" i="79"/>
  <c r="CT28" i="79"/>
  <c r="CS28" i="79"/>
  <c r="CT32" i="79"/>
  <c r="CS32" i="79"/>
  <c r="DE4" i="79"/>
  <c r="DD4" i="79"/>
  <c r="DE8" i="79"/>
  <c r="DD8" i="79"/>
  <c r="DE12" i="79"/>
  <c r="DD12" i="79"/>
  <c r="DE16" i="79"/>
  <c r="DD16" i="79"/>
  <c r="DE20" i="79"/>
  <c r="DD20" i="79"/>
  <c r="DE24" i="79"/>
  <c r="DD24" i="79"/>
  <c r="DE28" i="79"/>
  <c r="DD28" i="79"/>
  <c r="DE32" i="79"/>
  <c r="DD32" i="79"/>
  <c r="DP5" i="79"/>
  <c r="DO5" i="79"/>
  <c r="DP9" i="79"/>
  <c r="DO9" i="79"/>
  <c r="DP13" i="79"/>
  <c r="DO13" i="79"/>
  <c r="DP17" i="79"/>
  <c r="DO17" i="79"/>
  <c r="DP21" i="79"/>
  <c r="DO21" i="79"/>
  <c r="DP25" i="79"/>
  <c r="DO25" i="79"/>
  <c r="DP29" i="79"/>
  <c r="DO29" i="79"/>
  <c r="EA3" i="79"/>
  <c r="DZ3" i="79"/>
  <c r="EA7" i="79"/>
  <c r="DZ7" i="79"/>
  <c r="EA11" i="79"/>
  <c r="DZ11" i="79"/>
  <c r="DU15" i="79"/>
  <c r="EA15" i="79"/>
  <c r="DZ15" i="79"/>
  <c r="EA19" i="79"/>
  <c r="DZ19" i="79"/>
  <c r="EA23" i="79"/>
  <c r="DZ23" i="79"/>
  <c r="EA27" i="79"/>
  <c r="DZ27" i="79"/>
  <c r="EA31" i="79"/>
  <c r="DZ31" i="79"/>
  <c r="EL5" i="79"/>
  <c r="EK5" i="79"/>
  <c r="EL9" i="79"/>
  <c r="EK9" i="79"/>
  <c r="EL13" i="79"/>
  <c r="EK13" i="79"/>
  <c r="EL17" i="79"/>
  <c r="EK17" i="79"/>
  <c r="AQ9" i="79"/>
  <c r="AP9" i="79"/>
  <c r="AQ25" i="79"/>
  <c r="AP25" i="79"/>
  <c r="BB11" i="79"/>
  <c r="BA11" i="79"/>
  <c r="BB31" i="79"/>
  <c r="BA31" i="79"/>
  <c r="BM32" i="79"/>
  <c r="BL32" i="79"/>
  <c r="AQ30" i="79"/>
  <c r="AP30" i="79"/>
  <c r="BB4" i="79"/>
  <c r="BA4" i="79"/>
  <c r="BB8" i="79"/>
  <c r="BA8" i="79"/>
  <c r="BD12" i="79"/>
  <c r="BB12" i="79"/>
  <c r="BA12" i="79"/>
  <c r="BB16" i="79"/>
  <c r="BA16" i="79"/>
  <c r="BB20" i="79"/>
  <c r="BA20" i="79"/>
  <c r="BB24" i="79"/>
  <c r="BA24" i="79"/>
  <c r="BB28" i="79"/>
  <c r="BA28" i="79"/>
  <c r="BB32" i="79"/>
  <c r="BA32" i="79"/>
  <c r="BM5" i="79"/>
  <c r="BL5" i="79"/>
  <c r="BM9" i="79"/>
  <c r="BL9" i="79"/>
  <c r="BM13" i="79"/>
  <c r="BL13" i="79"/>
  <c r="BM17" i="79"/>
  <c r="BL17" i="79"/>
  <c r="BM21" i="79"/>
  <c r="BL21" i="79"/>
  <c r="BM25" i="79"/>
  <c r="BL25" i="79"/>
  <c r="BM29" i="79"/>
  <c r="BL29" i="79"/>
  <c r="BX3" i="79"/>
  <c r="BW3" i="79"/>
  <c r="BX7" i="79"/>
  <c r="BW7" i="79"/>
  <c r="BX11" i="79"/>
  <c r="BW11" i="79"/>
  <c r="BX15" i="79"/>
  <c r="BW15" i="79"/>
  <c r="BX19" i="79"/>
  <c r="BW19" i="79"/>
  <c r="BX23" i="79"/>
  <c r="BW23" i="79"/>
  <c r="BX27" i="79"/>
  <c r="BW27" i="79"/>
  <c r="BX31" i="79"/>
  <c r="BW31" i="79"/>
  <c r="CI4" i="79"/>
  <c r="CH4" i="79"/>
  <c r="CI8" i="79"/>
  <c r="CH8" i="79"/>
  <c r="CI12" i="79"/>
  <c r="CH12" i="79"/>
  <c r="CI16" i="79"/>
  <c r="CH16" i="79"/>
  <c r="CI20" i="79"/>
  <c r="CH20" i="79"/>
  <c r="CI24" i="79"/>
  <c r="CH24" i="79"/>
  <c r="CI28" i="79"/>
  <c r="CH28" i="79"/>
  <c r="CI32" i="79"/>
  <c r="CH32" i="79"/>
  <c r="CT5" i="79"/>
  <c r="CS5" i="79"/>
  <c r="CT9" i="79"/>
  <c r="CS9" i="79"/>
  <c r="CT13" i="79"/>
  <c r="CS13" i="79"/>
  <c r="CT17" i="79"/>
  <c r="CS17" i="79"/>
  <c r="CT21" i="79"/>
  <c r="CS21" i="79"/>
  <c r="CT25" i="79"/>
  <c r="CS25" i="79"/>
  <c r="CT29" i="79"/>
  <c r="CS29" i="79"/>
  <c r="DV3" i="79"/>
  <c r="DE5" i="79"/>
  <c r="DD5" i="79"/>
  <c r="DE9" i="79"/>
  <c r="DD9" i="79"/>
  <c r="DE13" i="79"/>
  <c r="DD13" i="79"/>
  <c r="DE17" i="79"/>
  <c r="DD17" i="79"/>
  <c r="DE21" i="79"/>
  <c r="DD21" i="79"/>
  <c r="DE25" i="79"/>
  <c r="DD25" i="79"/>
  <c r="DE29" i="79"/>
  <c r="DD29" i="79"/>
  <c r="DE33" i="79"/>
  <c r="DD33" i="79"/>
  <c r="DP6" i="79"/>
  <c r="DO6" i="79"/>
  <c r="DP10" i="79"/>
  <c r="DO10" i="79"/>
  <c r="DP14" i="79"/>
  <c r="DO14" i="79"/>
  <c r="DP18" i="79"/>
  <c r="DO18" i="79"/>
  <c r="DJ22" i="79"/>
  <c r="DP22" i="79"/>
  <c r="DO22" i="79"/>
  <c r="DP26" i="79"/>
  <c r="DO26" i="79"/>
  <c r="DP30" i="79"/>
  <c r="DO30" i="79"/>
  <c r="EA4" i="79"/>
  <c r="DZ4" i="79"/>
  <c r="EA8" i="79"/>
  <c r="DZ8" i="79"/>
  <c r="EA12" i="79"/>
  <c r="DZ12" i="79"/>
  <c r="EA16" i="79"/>
  <c r="DZ16" i="79"/>
  <c r="EA20" i="79"/>
  <c r="DZ20" i="79"/>
  <c r="EA24" i="79"/>
  <c r="DZ24" i="79"/>
  <c r="EA28" i="79"/>
  <c r="DZ28" i="79"/>
  <c r="EA32" i="79"/>
  <c r="DZ32" i="79"/>
  <c r="EL6" i="79"/>
  <c r="EK6" i="79"/>
  <c r="EL10" i="79"/>
  <c r="EK10" i="79"/>
  <c r="EL14" i="79"/>
  <c r="EK14" i="79"/>
  <c r="AQ17" i="79"/>
  <c r="AP17" i="79"/>
  <c r="BB3" i="79"/>
  <c r="BA3" i="79"/>
  <c r="BB19" i="79"/>
  <c r="BA19" i="79"/>
  <c r="BM4" i="79"/>
  <c r="BL4" i="79"/>
  <c r="BM16" i="79"/>
  <c r="BL16" i="79"/>
  <c r="BM28" i="79"/>
  <c r="BL28" i="79"/>
  <c r="BX14" i="79"/>
  <c r="BW14" i="79"/>
  <c r="BX30" i="79"/>
  <c r="BW30" i="79"/>
  <c r="AQ10" i="79"/>
  <c r="AP10" i="79"/>
  <c r="AQ22" i="79"/>
  <c r="AP22" i="79"/>
  <c r="AP3" i="79"/>
  <c r="AQ3" i="79"/>
  <c r="AP15" i="79"/>
  <c r="AQ15" i="79"/>
  <c r="AQ23" i="79"/>
  <c r="AP23" i="79"/>
  <c r="AP31" i="79"/>
  <c r="AQ31" i="79"/>
  <c r="BB9" i="79"/>
  <c r="BA9" i="79"/>
  <c r="BA13" i="79"/>
  <c r="BB13" i="79"/>
  <c r="BB17" i="79"/>
  <c r="BA17" i="79"/>
  <c r="BB21" i="79"/>
  <c r="BA21" i="79"/>
  <c r="BA25" i="79"/>
  <c r="BB25" i="79"/>
  <c r="BB29" i="79"/>
  <c r="BA29" i="79"/>
  <c r="BB33" i="79"/>
  <c r="BA33" i="79"/>
  <c r="BM6" i="79"/>
  <c r="BL6" i="79"/>
  <c r="BM10" i="79"/>
  <c r="BL10" i="79"/>
  <c r="BM14" i="79"/>
  <c r="BL14" i="79"/>
  <c r="BM18" i="79"/>
  <c r="BL18" i="79"/>
  <c r="BM22" i="79"/>
  <c r="BL22" i="79"/>
  <c r="BM26" i="79"/>
  <c r="BL26" i="79"/>
  <c r="BM30" i="79"/>
  <c r="BL30" i="79"/>
  <c r="BX4" i="79"/>
  <c r="BW4" i="79"/>
  <c r="BX8" i="79"/>
  <c r="BW8" i="79"/>
  <c r="BX12" i="79"/>
  <c r="BW12" i="79"/>
  <c r="BX16" i="79"/>
  <c r="BW16" i="79"/>
  <c r="BX20" i="79"/>
  <c r="BW20" i="79"/>
  <c r="BX24" i="79"/>
  <c r="BW24" i="79"/>
  <c r="BX28" i="79"/>
  <c r="BW28" i="79"/>
  <c r="BX32" i="79"/>
  <c r="BW32" i="79"/>
  <c r="CI5" i="79"/>
  <c r="CH5" i="79"/>
  <c r="CI9" i="79"/>
  <c r="CH9" i="79"/>
  <c r="CI13" i="79"/>
  <c r="CH13" i="79"/>
  <c r="CI17" i="79"/>
  <c r="CH17" i="79"/>
  <c r="CI21" i="79"/>
  <c r="CH21" i="79"/>
  <c r="CI25" i="79"/>
  <c r="CH25" i="79"/>
  <c r="CI29" i="79"/>
  <c r="CH29" i="79"/>
  <c r="CI33" i="79"/>
  <c r="CH33" i="79"/>
  <c r="CT6" i="79"/>
  <c r="CS6" i="79"/>
  <c r="CT10" i="79"/>
  <c r="CS10" i="79"/>
  <c r="CT14" i="79"/>
  <c r="CS14" i="79"/>
  <c r="CT18" i="79"/>
  <c r="CS18" i="79"/>
  <c r="CT22" i="79"/>
  <c r="CS22" i="79"/>
  <c r="CT26" i="79"/>
  <c r="CS26" i="79"/>
  <c r="CT30" i="79"/>
  <c r="CS30" i="79"/>
  <c r="EL3" i="79"/>
  <c r="EK3" i="79"/>
  <c r="DE6" i="79"/>
  <c r="DD6" i="79"/>
  <c r="DE10" i="79"/>
  <c r="DD10" i="79"/>
  <c r="DE14" i="79"/>
  <c r="DD14" i="79"/>
  <c r="DE18" i="79"/>
  <c r="DD18" i="79"/>
  <c r="DE22" i="79"/>
  <c r="DD22" i="79"/>
  <c r="DE26" i="79"/>
  <c r="DD26" i="79"/>
  <c r="DE30" i="79"/>
  <c r="DD30" i="79"/>
  <c r="DJ3" i="79"/>
  <c r="DP3" i="79"/>
  <c r="DO3" i="79"/>
  <c r="DP7" i="79"/>
  <c r="DO7" i="79"/>
  <c r="DP11" i="79"/>
  <c r="DO11" i="79"/>
  <c r="DP15" i="79"/>
  <c r="DO15" i="79"/>
  <c r="DP19" i="79"/>
  <c r="DO19" i="79"/>
  <c r="DP23" i="79"/>
  <c r="DO23" i="79"/>
  <c r="DP27" i="79"/>
  <c r="DO27" i="79"/>
  <c r="DP31" i="79"/>
  <c r="DO31" i="79"/>
  <c r="EA5" i="79"/>
  <c r="DZ5" i="79"/>
  <c r="EA9" i="79"/>
  <c r="DZ9" i="79"/>
  <c r="EA13" i="79"/>
  <c r="DZ13" i="79"/>
  <c r="EA17" i="79"/>
  <c r="DZ17" i="79"/>
  <c r="EA21" i="79"/>
  <c r="DZ21" i="79"/>
  <c r="EA25" i="79"/>
  <c r="DZ25" i="79"/>
  <c r="EA29" i="79"/>
  <c r="DZ29" i="79"/>
  <c r="EA33" i="79"/>
  <c r="DZ33" i="79"/>
  <c r="EL7" i="79"/>
  <c r="EK7" i="79"/>
  <c r="EL11" i="79"/>
  <c r="EK11" i="79"/>
  <c r="EL15" i="79"/>
  <c r="EK15" i="79"/>
  <c r="AQ5" i="79"/>
  <c r="AP5" i="79"/>
  <c r="AQ21" i="79"/>
  <c r="AP21" i="79"/>
  <c r="BB7" i="79"/>
  <c r="BA7" i="79"/>
  <c r="BB23" i="79"/>
  <c r="BA23" i="79"/>
  <c r="BM8" i="79"/>
  <c r="BL8" i="79"/>
  <c r="BM20" i="79"/>
  <c r="BL20" i="79"/>
  <c r="BX6" i="79"/>
  <c r="BW6" i="79"/>
  <c r="BX22" i="79"/>
  <c r="BW22" i="79"/>
  <c r="AQ6" i="79"/>
  <c r="AP6" i="79"/>
  <c r="AQ14" i="79"/>
  <c r="AP14" i="79"/>
  <c r="AQ18" i="79"/>
  <c r="AP18" i="79"/>
  <c r="AQ26" i="79"/>
  <c r="AP26" i="79"/>
  <c r="AQ7" i="79"/>
  <c r="AP7" i="79"/>
  <c r="AP11" i="79"/>
  <c r="AQ11" i="79"/>
  <c r="AP19" i="79"/>
  <c r="AQ19" i="79"/>
  <c r="AP27" i="79"/>
  <c r="AQ27" i="79"/>
  <c r="BA5" i="79"/>
  <c r="BB5" i="79"/>
  <c r="AQ4" i="79"/>
  <c r="AP4" i="79"/>
  <c r="AQ8" i="79"/>
  <c r="AP8" i="79"/>
  <c r="AQ12" i="79"/>
  <c r="AP12" i="79"/>
  <c r="AQ16" i="79"/>
  <c r="AP16" i="79"/>
  <c r="AQ20" i="79"/>
  <c r="AP20" i="79"/>
  <c r="AQ24" i="79"/>
  <c r="AP24" i="79"/>
  <c r="AQ28" i="79"/>
  <c r="AP28" i="79"/>
  <c r="AQ32" i="79"/>
  <c r="AP32" i="79"/>
  <c r="BB6" i="79"/>
  <c r="BA6" i="79"/>
  <c r="BB10" i="79"/>
  <c r="BA10" i="79"/>
  <c r="BB14" i="79"/>
  <c r="BA14" i="79"/>
  <c r="BB18" i="79"/>
  <c r="BA18" i="79"/>
  <c r="BB22" i="79"/>
  <c r="BA22" i="79"/>
  <c r="BB26" i="79"/>
  <c r="BA26" i="79"/>
  <c r="BB30" i="79"/>
  <c r="BA30" i="79"/>
  <c r="BM3" i="79"/>
  <c r="BL3" i="79"/>
  <c r="BM7" i="79"/>
  <c r="BL7" i="79"/>
  <c r="BM11" i="79"/>
  <c r="BL11" i="79"/>
  <c r="BM15" i="79"/>
  <c r="BL15" i="79"/>
  <c r="BM19" i="79"/>
  <c r="BL19" i="79"/>
  <c r="BM23" i="79"/>
  <c r="BL23" i="79"/>
  <c r="BM27" i="79"/>
  <c r="BL27" i="79"/>
  <c r="BM31" i="79"/>
  <c r="BL31" i="79"/>
  <c r="BX5" i="79"/>
  <c r="BW5" i="79"/>
  <c r="BX9" i="79"/>
  <c r="BW9" i="79"/>
  <c r="BX13" i="79"/>
  <c r="BW13" i="79"/>
  <c r="BX17" i="79"/>
  <c r="BW17" i="79"/>
  <c r="BX21" i="79"/>
  <c r="BW21" i="79"/>
  <c r="BX25" i="79"/>
  <c r="BW25" i="79"/>
  <c r="BX29" i="79"/>
  <c r="BW29" i="79"/>
  <c r="BX33" i="79"/>
  <c r="BW33" i="79"/>
  <c r="CI6" i="79"/>
  <c r="CH6" i="79"/>
  <c r="CI10" i="79"/>
  <c r="CH10" i="79"/>
  <c r="CI14" i="79"/>
  <c r="CH14" i="79"/>
  <c r="CI18" i="79"/>
  <c r="CH18" i="79"/>
  <c r="CI22" i="79"/>
  <c r="CH22" i="79"/>
  <c r="CI26" i="79"/>
  <c r="CH26" i="79"/>
  <c r="CI30" i="79"/>
  <c r="CH30" i="79"/>
  <c r="CT3" i="79"/>
  <c r="CS3" i="79"/>
  <c r="CT7" i="79"/>
  <c r="CS7" i="79"/>
  <c r="CT11" i="79"/>
  <c r="CS11" i="79"/>
  <c r="CT15" i="79"/>
  <c r="CS15" i="79"/>
  <c r="CT19" i="79"/>
  <c r="CS19" i="79"/>
  <c r="CT23" i="79"/>
  <c r="CS23" i="79"/>
  <c r="CT27" i="79"/>
  <c r="CS27" i="79"/>
  <c r="CT31" i="79"/>
  <c r="CS31" i="79"/>
  <c r="DE3" i="79"/>
  <c r="DD3" i="79"/>
  <c r="DE7" i="79"/>
  <c r="DD7" i="79"/>
  <c r="DE11" i="79"/>
  <c r="DD11" i="79"/>
  <c r="DE15" i="79"/>
  <c r="DD15" i="79"/>
  <c r="DE19" i="79"/>
  <c r="DD19" i="79"/>
  <c r="DE23" i="79"/>
  <c r="DD23" i="79"/>
  <c r="DE27" i="79"/>
  <c r="DD27" i="79"/>
  <c r="DE31" i="79"/>
  <c r="DD31" i="79"/>
  <c r="DP4" i="79"/>
  <c r="DO4" i="79"/>
  <c r="DP8" i="79"/>
  <c r="DO8" i="79"/>
  <c r="DP12" i="79"/>
  <c r="DO12" i="79"/>
  <c r="DP16" i="79"/>
  <c r="DO16" i="79"/>
  <c r="DP20" i="79"/>
  <c r="DO20" i="79"/>
  <c r="DP24" i="79"/>
  <c r="DO24" i="79"/>
  <c r="DP28" i="79"/>
  <c r="DO28" i="79"/>
  <c r="DP32" i="79"/>
  <c r="DO32" i="79"/>
  <c r="EA6" i="79"/>
  <c r="DZ6" i="79"/>
  <c r="EA10" i="79"/>
  <c r="DZ10" i="79"/>
  <c r="EA14" i="79"/>
  <c r="DZ14" i="79"/>
  <c r="EA18" i="79"/>
  <c r="DZ18" i="79"/>
  <c r="EA22" i="79"/>
  <c r="DZ22" i="79"/>
  <c r="EA26" i="79"/>
  <c r="DZ26" i="79"/>
  <c r="EA30" i="79"/>
  <c r="DZ30" i="79"/>
  <c r="EL4" i="79"/>
  <c r="EK4" i="79"/>
  <c r="EL8" i="79"/>
  <c r="EK8" i="79"/>
  <c r="EL12" i="79"/>
  <c r="EK12" i="79"/>
  <c r="EL16" i="79"/>
  <c r="EK16" i="79"/>
  <c r="EH6" i="79"/>
  <c r="EN6" i="79"/>
  <c r="EJ6" i="79"/>
  <c r="EH10" i="79"/>
  <c r="EJ10" i="79"/>
  <c r="EN10" i="79"/>
  <c r="EO17" i="79"/>
  <c r="EJ17" i="79"/>
  <c r="EN17" i="79"/>
  <c r="EJ7" i="79"/>
  <c r="EN7" i="79"/>
  <c r="EJ11" i="79"/>
  <c r="EN11" i="79"/>
  <c r="EH14" i="79"/>
  <c r="EJ14" i="79"/>
  <c r="EN14" i="79"/>
  <c r="EN4" i="79"/>
  <c r="EJ4" i="79"/>
  <c r="EN8" i="79"/>
  <c r="EJ8" i="79"/>
  <c r="EJ12" i="79"/>
  <c r="EN12" i="79"/>
  <c r="EN15" i="79"/>
  <c r="EJ15" i="79"/>
  <c r="EN3" i="79"/>
  <c r="EJ3" i="79"/>
  <c r="EO5" i="79"/>
  <c r="EJ5" i="79"/>
  <c r="EN5" i="79"/>
  <c r="EO9" i="79"/>
  <c r="EJ9" i="79"/>
  <c r="EN9" i="79"/>
  <c r="EO13" i="79"/>
  <c r="EN13" i="79"/>
  <c r="EJ13" i="79"/>
  <c r="EN16" i="79"/>
  <c r="EJ16" i="79"/>
  <c r="DW6" i="79"/>
  <c r="EC6" i="79"/>
  <c r="DY6" i="79"/>
  <c r="DW10" i="79"/>
  <c r="EC10" i="79"/>
  <c r="DY10" i="79"/>
  <c r="DW14" i="79"/>
  <c r="EC14" i="79"/>
  <c r="DY14" i="79"/>
  <c r="ED17" i="79"/>
  <c r="EC17" i="79"/>
  <c r="DY17" i="79"/>
  <c r="ED21" i="79"/>
  <c r="EC21" i="79"/>
  <c r="DY21" i="79"/>
  <c r="ED25" i="79"/>
  <c r="EC25" i="79"/>
  <c r="DY25" i="79"/>
  <c r="ED29" i="79"/>
  <c r="EC29" i="79"/>
  <c r="DY29" i="79"/>
  <c r="ED33" i="79"/>
  <c r="EC33" i="79"/>
  <c r="DY33" i="79"/>
  <c r="ED5" i="79"/>
  <c r="EC5" i="79"/>
  <c r="DY5" i="79"/>
  <c r="ED9" i="79"/>
  <c r="EC9" i="79"/>
  <c r="DY9" i="79"/>
  <c r="ED13" i="79"/>
  <c r="EC13" i="79"/>
  <c r="DY13" i="79"/>
  <c r="DY16" i="79"/>
  <c r="EC16" i="79"/>
  <c r="DY20" i="79"/>
  <c r="EC20" i="79"/>
  <c r="DY24" i="79"/>
  <c r="EC24" i="79"/>
  <c r="DY28" i="79"/>
  <c r="EC28" i="79"/>
  <c r="DY32" i="79"/>
  <c r="EC32" i="79"/>
  <c r="DY3" i="79"/>
  <c r="EC3" i="79"/>
  <c r="DY7" i="79"/>
  <c r="EC7" i="79"/>
  <c r="DY11" i="79"/>
  <c r="EC11" i="79"/>
  <c r="DY15" i="79"/>
  <c r="EC15" i="79"/>
  <c r="DW18" i="79"/>
  <c r="EC18" i="79"/>
  <c r="DY18" i="79"/>
  <c r="DW22" i="79"/>
  <c r="EC22" i="79"/>
  <c r="DY22" i="79"/>
  <c r="DW26" i="79"/>
  <c r="DY26" i="79"/>
  <c r="EC26" i="79"/>
  <c r="DW30" i="79"/>
  <c r="EC30" i="79"/>
  <c r="DY30" i="79"/>
  <c r="DY4" i="79"/>
  <c r="EC4" i="79"/>
  <c r="DY8" i="79"/>
  <c r="EC8" i="79"/>
  <c r="DY12" i="79"/>
  <c r="EC12" i="79"/>
  <c r="DY19" i="79"/>
  <c r="EC19" i="79"/>
  <c r="DY23" i="79"/>
  <c r="EC23" i="79"/>
  <c r="DY27" i="79"/>
  <c r="EC27" i="79"/>
  <c r="DY31" i="79"/>
  <c r="EC31" i="79"/>
  <c r="DS4" i="79"/>
  <c r="DR4" i="79"/>
  <c r="DN4" i="79"/>
  <c r="DS8" i="79"/>
  <c r="DR8" i="79"/>
  <c r="DN8" i="79"/>
  <c r="DS12" i="79"/>
  <c r="DR12" i="79"/>
  <c r="DN12" i="79"/>
  <c r="DS16" i="79"/>
  <c r="DR16" i="79"/>
  <c r="DN16" i="79"/>
  <c r="DS20" i="79"/>
  <c r="DR20" i="79"/>
  <c r="DN20" i="79"/>
  <c r="DR23" i="79"/>
  <c r="DN23" i="79"/>
  <c r="DR27" i="79"/>
  <c r="DN27" i="79"/>
  <c r="DR31" i="79"/>
  <c r="DN31" i="79"/>
  <c r="DL5" i="79"/>
  <c r="DN5" i="79"/>
  <c r="DR5" i="79"/>
  <c r="DL13" i="79"/>
  <c r="DN13" i="79"/>
  <c r="DR13" i="79"/>
  <c r="DS24" i="79"/>
  <c r="DR24" i="79"/>
  <c r="DN24" i="79"/>
  <c r="DS32" i="79"/>
  <c r="DR32" i="79"/>
  <c r="DN32" i="79"/>
  <c r="DL9" i="79"/>
  <c r="DN9" i="79"/>
  <c r="DR9" i="79"/>
  <c r="DL17" i="79"/>
  <c r="DN17" i="79"/>
  <c r="DR17" i="79"/>
  <c r="DL21" i="79"/>
  <c r="DN21" i="79"/>
  <c r="DR21" i="79"/>
  <c r="DS28" i="79"/>
  <c r="DR28" i="79"/>
  <c r="DN28" i="79"/>
  <c r="DN6" i="79"/>
  <c r="DR6" i="79"/>
  <c r="DN10" i="79"/>
  <c r="DR10" i="79"/>
  <c r="DN14" i="79"/>
  <c r="DR14" i="79"/>
  <c r="DN18" i="79"/>
  <c r="DR18" i="79"/>
  <c r="DN22" i="79"/>
  <c r="DR22" i="79"/>
  <c r="DL25" i="79"/>
  <c r="DN25" i="79"/>
  <c r="DR25" i="79"/>
  <c r="DL29" i="79"/>
  <c r="DN29" i="79"/>
  <c r="DR29" i="79"/>
  <c r="DR3" i="79"/>
  <c r="DN3" i="79"/>
  <c r="DR7" i="79"/>
  <c r="DN7" i="79"/>
  <c r="DR11" i="79"/>
  <c r="DN11" i="79"/>
  <c r="DR15" i="79"/>
  <c r="DN15" i="79"/>
  <c r="DR19" i="79"/>
  <c r="DN19" i="79"/>
  <c r="DN26" i="79"/>
  <c r="DR26" i="79"/>
  <c r="DN30" i="79"/>
  <c r="DR30" i="79"/>
  <c r="DB15" i="79"/>
  <c r="DF15" i="79" s="1"/>
  <c r="DC15" i="79"/>
  <c r="DG15" i="79"/>
  <c r="DB19" i="79"/>
  <c r="DF19" i="79" s="1"/>
  <c r="DC19" i="79"/>
  <c r="DG19" i="79"/>
  <c r="DC27" i="79"/>
  <c r="DG27" i="79"/>
  <c r="DC31" i="79"/>
  <c r="DG31" i="79"/>
  <c r="DB7" i="79"/>
  <c r="DF7" i="79" s="1"/>
  <c r="DC7" i="79"/>
  <c r="DG7" i="79"/>
  <c r="DH4" i="79"/>
  <c r="DC4" i="79"/>
  <c r="DG4" i="79"/>
  <c r="DC12" i="79"/>
  <c r="DG12" i="79"/>
  <c r="DC24" i="79"/>
  <c r="DG24" i="79"/>
  <c r="DC32" i="79"/>
  <c r="DG32" i="79"/>
  <c r="DC3" i="79"/>
  <c r="DG3" i="79"/>
  <c r="DC8" i="79"/>
  <c r="DG8" i="79"/>
  <c r="DC16" i="79"/>
  <c r="DG16" i="79"/>
  <c r="DC20" i="79"/>
  <c r="DG20" i="79"/>
  <c r="DC28" i="79"/>
  <c r="DG28" i="79"/>
  <c r="DG5" i="79"/>
  <c r="DC5" i="79"/>
  <c r="DH9" i="79"/>
  <c r="DG9" i="79"/>
  <c r="DC9" i="79"/>
  <c r="DH13" i="79"/>
  <c r="DG13" i="79"/>
  <c r="DC13" i="79"/>
  <c r="DG17" i="79"/>
  <c r="DC17" i="79"/>
  <c r="DG21" i="79"/>
  <c r="DC21" i="79"/>
  <c r="DH25" i="79"/>
  <c r="DG25" i="79"/>
  <c r="DC25" i="79"/>
  <c r="DH29" i="79"/>
  <c r="DG29" i="79"/>
  <c r="DC29" i="79"/>
  <c r="DH33" i="79"/>
  <c r="DG33" i="79"/>
  <c r="DC33" i="79"/>
  <c r="DA11" i="79"/>
  <c r="DC11" i="79"/>
  <c r="DG11" i="79"/>
  <c r="DB23" i="79"/>
  <c r="DF23" i="79" s="1"/>
  <c r="DC23" i="79"/>
  <c r="DG23" i="79"/>
  <c r="CY6" i="79"/>
  <c r="DC6" i="79"/>
  <c r="DG6" i="79"/>
  <c r="DC10" i="79"/>
  <c r="DG10" i="79"/>
  <c r="DB14" i="79"/>
  <c r="DF14" i="79" s="1"/>
  <c r="DC14" i="79"/>
  <c r="DG14" i="79"/>
  <c r="DC18" i="79"/>
  <c r="DG18" i="79"/>
  <c r="CY22" i="79"/>
  <c r="DC22" i="79"/>
  <c r="DG22" i="79"/>
  <c r="DC26" i="79"/>
  <c r="DG26" i="79"/>
  <c r="DC30" i="79"/>
  <c r="DG30" i="79"/>
  <c r="CR9" i="79"/>
  <c r="CV9" i="79"/>
  <c r="CQ17" i="79"/>
  <c r="CU17" i="79" s="1"/>
  <c r="CR17" i="79"/>
  <c r="CV17" i="79"/>
  <c r="CQ29" i="79"/>
  <c r="CU29" i="79" s="1"/>
  <c r="CR29" i="79"/>
  <c r="CV29" i="79"/>
  <c r="CW10" i="79"/>
  <c r="CR10" i="79"/>
  <c r="CV10" i="79"/>
  <c r="CR18" i="79"/>
  <c r="CV18" i="79"/>
  <c r="CR26" i="79"/>
  <c r="CV26" i="79"/>
  <c r="CR30" i="79"/>
  <c r="CV30" i="79"/>
  <c r="CQ5" i="79"/>
  <c r="CU5" i="79" s="1"/>
  <c r="CR5" i="79"/>
  <c r="CV5" i="79"/>
  <c r="CW21" i="79"/>
  <c r="CR21" i="79"/>
  <c r="CV21" i="79"/>
  <c r="CP6" i="79"/>
  <c r="CR6" i="79"/>
  <c r="CV6" i="79"/>
  <c r="CR14" i="79"/>
  <c r="CV14" i="79"/>
  <c r="CR22" i="79"/>
  <c r="CV22" i="79"/>
  <c r="CW13" i="79"/>
  <c r="CR13" i="79"/>
  <c r="CV13" i="79"/>
  <c r="CR25" i="79"/>
  <c r="CV25" i="79"/>
  <c r="CV3" i="79"/>
  <c r="CR3" i="79"/>
  <c r="CV7" i="79"/>
  <c r="CR7" i="79"/>
  <c r="CO11" i="79"/>
  <c r="CV11" i="79"/>
  <c r="CR11" i="79"/>
  <c r="CP15" i="79"/>
  <c r="CV15" i="79"/>
  <c r="CR15" i="79"/>
  <c r="CV19" i="79"/>
  <c r="CR19" i="79"/>
  <c r="CV23" i="79"/>
  <c r="CR23" i="79"/>
  <c r="CP27" i="79"/>
  <c r="CV27" i="79"/>
  <c r="CR27" i="79"/>
  <c r="CV31" i="79"/>
  <c r="CR31" i="79"/>
  <c r="CP4" i="79"/>
  <c r="CV4" i="79"/>
  <c r="CR4" i="79"/>
  <c r="CO8" i="79"/>
  <c r="CV8" i="79"/>
  <c r="CR8" i="79"/>
  <c r="CV12" i="79"/>
  <c r="CR12" i="79"/>
  <c r="CV16" i="79"/>
  <c r="CR16" i="79"/>
  <c r="CW20" i="79"/>
  <c r="CV20" i="79"/>
  <c r="CR20" i="79"/>
  <c r="CW24" i="79"/>
  <c r="CV24" i="79"/>
  <c r="CR24" i="79"/>
  <c r="CO28" i="79"/>
  <c r="CV28" i="79"/>
  <c r="CR28" i="79"/>
  <c r="CW32" i="79"/>
  <c r="CV32" i="79"/>
  <c r="CR32" i="79"/>
  <c r="CE4" i="79"/>
  <c r="CG4" i="79"/>
  <c r="CK4" i="79"/>
  <c r="CF8" i="79"/>
  <c r="CJ8" i="79" s="1"/>
  <c r="CG8" i="79"/>
  <c r="CK8" i="79"/>
  <c r="CD12" i="79"/>
  <c r="CG12" i="79"/>
  <c r="CK12" i="79"/>
  <c r="CG16" i="79"/>
  <c r="CK16" i="79"/>
  <c r="CG20" i="79"/>
  <c r="CK20" i="79"/>
  <c r="CG24" i="79"/>
  <c r="CK24" i="79"/>
  <c r="CG28" i="79"/>
  <c r="CK28" i="79"/>
  <c r="CG32" i="79"/>
  <c r="CK32" i="79"/>
  <c r="CL5" i="79"/>
  <c r="CK5" i="79"/>
  <c r="CG5" i="79"/>
  <c r="CE6" i="79"/>
  <c r="CG6" i="79"/>
  <c r="CK6" i="79"/>
  <c r="CG10" i="79"/>
  <c r="CK10" i="79"/>
  <c r="CG14" i="79"/>
  <c r="CK14" i="79"/>
  <c r="CC18" i="79"/>
  <c r="CK18" i="79"/>
  <c r="CG18" i="79"/>
  <c r="CC22" i="79"/>
  <c r="CG22" i="79"/>
  <c r="CK22" i="79"/>
  <c r="CG26" i="79"/>
  <c r="CK26" i="79"/>
  <c r="CG30" i="79"/>
  <c r="CK30" i="79"/>
  <c r="CL9" i="79"/>
  <c r="CK9" i="79"/>
  <c r="CG9" i="79"/>
  <c r="CL13" i="79"/>
  <c r="CK13" i="79"/>
  <c r="CG13" i="79"/>
  <c r="CL17" i="79"/>
  <c r="CK17" i="79"/>
  <c r="CG17" i="79"/>
  <c r="CL21" i="79"/>
  <c r="CK21" i="79"/>
  <c r="CG21" i="79"/>
  <c r="CL25" i="79"/>
  <c r="CK25" i="79"/>
  <c r="CG25" i="79"/>
  <c r="CL29" i="79"/>
  <c r="CK29" i="79"/>
  <c r="CG29" i="79"/>
  <c r="CL33" i="79"/>
  <c r="CK33" i="79"/>
  <c r="CG33" i="79"/>
  <c r="CG3" i="79"/>
  <c r="CK3" i="79"/>
  <c r="CE7" i="79"/>
  <c r="CG7" i="79"/>
  <c r="CK7" i="79"/>
  <c r="CF11" i="79"/>
  <c r="CJ11" i="79" s="1"/>
  <c r="CG11" i="79"/>
  <c r="CK11" i="79"/>
  <c r="CE15" i="79"/>
  <c r="CG15" i="79"/>
  <c r="CK15" i="79"/>
  <c r="CE19" i="79"/>
  <c r="CG19" i="79"/>
  <c r="CK19" i="79"/>
  <c r="CF23" i="79"/>
  <c r="CJ23" i="79" s="1"/>
  <c r="CG23" i="79"/>
  <c r="CK23" i="79"/>
  <c r="CF27" i="79"/>
  <c r="CJ27" i="79" s="1"/>
  <c r="CG27" i="79"/>
  <c r="CK27" i="79"/>
  <c r="CG31" i="79"/>
  <c r="CK31" i="79"/>
  <c r="BV19" i="79"/>
  <c r="BZ19" i="79"/>
  <c r="BV3" i="79"/>
  <c r="BZ3" i="79"/>
  <c r="CA12" i="79"/>
  <c r="BV12" i="79"/>
  <c r="BZ12" i="79"/>
  <c r="CA24" i="79"/>
  <c r="BV24" i="79"/>
  <c r="BZ24" i="79"/>
  <c r="BZ11" i="79"/>
  <c r="BV11" i="79"/>
  <c r="CA4" i="79"/>
  <c r="BV4" i="79"/>
  <c r="BZ4" i="79"/>
  <c r="CA8" i="79"/>
  <c r="BV8" i="79"/>
  <c r="BZ8" i="79"/>
  <c r="CA20" i="79"/>
  <c r="BV20" i="79"/>
  <c r="BZ20" i="79"/>
  <c r="CA32" i="79"/>
  <c r="BV32" i="79"/>
  <c r="BZ32" i="79"/>
  <c r="CA5" i="79"/>
  <c r="BZ5" i="79"/>
  <c r="BV5" i="79"/>
  <c r="CA9" i="79"/>
  <c r="BZ9" i="79"/>
  <c r="BV9" i="79"/>
  <c r="CA13" i="79"/>
  <c r="BZ13" i="79"/>
  <c r="BV13" i="79"/>
  <c r="CA17" i="79"/>
  <c r="BZ17" i="79"/>
  <c r="BV17" i="79"/>
  <c r="CA21" i="79"/>
  <c r="BZ21" i="79"/>
  <c r="BV21" i="79"/>
  <c r="CA25" i="79"/>
  <c r="BZ25" i="79"/>
  <c r="BV25" i="79"/>
  <c r="CA29" i="79"/>
  <c r="BZ29" i="79"/>
  <c r="BV29" i="79"/>
  <c r="CA33" i="79"/>
  <c r="BZ33" i="79"/>
  <c r="BV33" i="79"/>
  <c r="BZ7" i="79"/>
  <c r="BV7" i="79"/>
  <c r="BZ15" i="79"/>
  <c r="BV15" i="79"/>
  <c r="BZ23" i="79"/>
  <c r="BV23" i="79"/>
  <c r="BZ27" i="79"/>
  <c r="BV27" i="79"/>
  <c r="BZ31" i="79"/>
  <c r="BV31" i="79"/>
  <c r="CA16" i="79"/>
  <c r="BV16" i="79"/>
  <c r="BZ16" i="79"/>
  <c r="CA28" i="79"/>
  <c r="BV28" i="79"/>
  <c r="BZ28" i="79"/>
  <c r="BT6" i="79"/>
  <c r="BV6" i="79"/>
  <c r="BZ6" i="79"/>
  <c r="BT10" i="79"/>
  <c r="BZ10" i="79"/>
  <c r="BV10" i="79"/>
  <c r="BT14" i="79"/>
  <c r="BV14" i="79"/>
  <c r="BZ14" i="79"/>
  <c r="BT18" i="79"/>
  <c r="BZ18" i="79"/>
  <c r="BV18" i="79"/>
  <c r="BT22" i="79"/>
  <c r="BV22" i="79"/>
  <c r="BZ22" i="79"/>
  <c r="BT26" i="79"/>
  <c r="BZ26" i="79"/>
  <c r="BV26" i="79"/>
  <c r="BT30" i="79"/>
  <c r="BV30" i="79"/>
  <c r="BZ30" i="79"/>
  <c r="BI5" i="79"/>
  <c r="BK5" i="79"/>
  <c r="BO5" i="79"/>
  <c r="BI9" i="79"/>
  <c r="BK9" i="79"/>
  <c r="BO9" i="79"/>
  <c r="BI13" i="79"/>
  <c r="BK13" i="79"/>
  <c r="BO13" i="79"/>
  <c r="BI17" i="79"/>
  <c r="BK17" i="79"/>
  <c r="BO17" i="79"/>
  <c r="BI21" i="79"/>
  <c r="BK21" i="79"/>
  <c r="BO21" i="79"/>
  <c r="BI25" i="79"/>
  <c r="BK25" i="79"/>
  <c r="BO25" i="79"/>
  <c r="BI29" i="79"/>
  <c r="BK29" i="79"/>
  <c r="BO29" i="79"/>
  <c r="BK10" i="79"/>
  <c r="BO10" i="79"/>
  <c r="BK22" i="79"/>
  <c r="BO22" i="79"/>
  <c r="BK6" i="79"/>
  <c r="BO6" i="79"/>
  <c r="BK14" i="79"/>
  <c r="BO14" i="79"/>
  <c r="BK18" i="79"/>
  <c r="BO18" i="79"/>
  <c r="BK26" i="79"/>
  <c r="BO26" i="79"/>
  <c r="BK30" i="79"/>
  <c r="BO30" i="79"/>
  <c r="BP3" i="79"/>
  <c r="BO3" i="79"/>
  <c r="BK3" i="79"/>
  <c r="BP7" i="79"/>
  <c r="BO7" i="79"/>
  <c r="BK7" i="79"/>
  <c r="BP11" i="79"/>
  <c r="BO11" i="79"/>
  <c r="BK11" i="79"/>
  <c r="BP15" i="79"/>
  <c r="BO15" i="79"/>
  <c r="BK15" i="79"/>
  <c r="BP19" i="79"/>
  <c r="BO19" i="79"/>
  <c r="BK19" i="79"/>
  <c r="BP23" i="79"/>
  <c r="BO23" i="79"/>
  <c r="BK23" i="79"/>
  <c r="BP27" i="79"/>
  <c r="BO27" i="79"/>
  <c r="BK27" i="79"/>
  <c r="BP31" i="79"/>
  <c r="BO31" i="79"/>
  <c r="BK31" i="79"/>
  <c r="BP4" i="79"/>
  <c r="BO4" i="79"/>
  <c r="BK4" i="79"/>
  <c r="BP8" i="79"/>
  <c r="BO8" i="79"/>
  <c r="BK8" i="79"/>
  <c r="BP12" i="79"/>
  <c r="BO12" i="79"/>
  <c r="BK12" i="79"/>
  <c r="BP16" i="79"/>
  <c r="BO16" i="79"/>
  <c r="BK16" i="79"/>
  <c r="BP20" i="79"/>
  <c r="BO20" i="79"/>
  <c r="BK20" i="79"/>
  <c r="BP24" i="79"/>
  <c r="BO24" i="79"/>
  <c r="BK24" i="79"/>
  <c r="BP28" i="79"/>
  <c r="BO28" i="79"/>
  <c r="BK28" i="79"/>
  <c r="BP32" i="79"/>
  <c r="BO32" i="79"/>
  <c r="BK32" i="79"/>
  <c r="BE4" i="79"/>
  <c r="AZ4" i="79"/>
  <c r="BD4" i="79"/>
  <c r="AZ12" i="79"/>
  <c r="AZ20" i="79"/>
  <c r="BD20" i="79"/>
  <c r="BD24" i="79"/>
  <c r="AZ24" i="79"/>
  <c r="BD32" i="79"/>
  <c r="AZ32" i="79"/>
  <c r="BE9" i="79"/>
  <c r="AZ9" i="79"/>
  <c r="BD9" i="79"/>
  <c r="BE13" i="79"/>
  <c r="AZ13" i="79"/>
  <c r="BD13" i="79"/>
  <c r="BE17" i="79"/>
  <c r="AZ17" i="79"/>
  <c r="BD17" i="79"/>
  <c r="BE21" i="79"/>
  <c r="AZ21" i="79"/>
  <c r="BD21" i="79"/>
  <c r="BE29" i="79"/>
  <c r="BD29" i="79"/>
  <c r="AZ29" i="79"/>
  <c r="BE33" i="79"/>
  <c r="BD33" i="79"/>
  <c r="AZ33" i="79"/>
  <c r="AZ8" i="79"/>
  <c r="BD8" i="79"/>
  <c r="AZ16" i="79"/>
  <c r="BD16" i="79"/>
  <c r="BE5" i="79"/>
  <c r="AZ5" i="79"/>
  <c r="BD5" i="79"/>
  <c r="BE25" i="79"/>
  <c r="BD25" i="79"/>
  <c r="AZ25" i="79"/>
  <c r="AZ6" i="79"/>
  <c r="BD6" i="79"/>
  <c r="AY10" i="79"/>
  <c r="BC10" i="79" s="1"/>
  <c r="AZ10" i="79"/>
  <c r="BD10" i="79"/>
  <c r="AV14" i="79"/>
  <c r="AZ14" i="79"/>
  <c r="BD14" i="79"/>
  <c r="AY18" i="79"/>
  <c r="BC18" i="79" s="1"/>
  <c r="AZ18" i="79"/>
  <c r="BD18" i="79"/>
  <c r="BD22" i="79"/>
  <c r="AZ22" i="79"/>
  <c r="BD26" i="79"/>
  <c r="AZ26" i="79"/>
  <c r="BE30" i="79"/>
  <c r="BD30" i="79"/>
  <c r="AZ30" i="79"/>
  <c r="BD28" i="79"/>
  <c r="AZ28" i="79"/>
  <c r="AZ3" i="79"/>
  <c r="BD3" i="79"/>
  <c r="AY7" i="79"/>
  <c r="BC7" i="79" s="1"/>
  <c r="AZ7" i="79"/>
  <c r="BD7" i="79"/>
  <c r="AX11" i="79"/>
  <c r="AZ11" i="79"/>
  <c r="BD11" i="79"/>
  <c r="AY15" i="79"/>
  <c r="BC15" i="79" s="1"/>
  <c r="AZ15" i="79"/>
  <c r="BD15" i="79"/>
  <c r="AZ19" i="79"/>
  <c r="BD19" i="79"/>
  <c r="AY23" i="79"/>
  <c r="BC23" i="79" s="1"/>
  <c r="AZ23" i="79"/>
  <c r="BD23" i="79"/>
  <c r="BD27" i="79"/>
  <c r="AZ27" i="79"/>
  <c r="AZ31" i="79"/>
  <c r="BD31" i="79"/>
  <c r="AT8" i="79"/>
  <c r="AO8" i="79"/>
  <c r="AS8" i="79"/>
  <c r="AO6" i="79"/>
  <c r="AS6" i="79"/>
  <c r="AM10" i="79"/>
  <c r="AO10" i="79"/>
  <c r="AS10" i="79"/>
  <c r="AM14" i="79"/>
  <c r="AO14" i="79"/>
  <c r="AS14" i="79"/>
  <c r="AM18" i="79"/>
  <c r="AO18" i="79"/>
  <c r="AS18" i="79"/>
  <c r="AN22" i="79"/>
  <c r="AR22" i="79" s="1"/>
  <c r="AO22" i="79"/>
  <c r="AS22" i="79"/>
  <c r="AM26" i="79"/>
  <c r="AO26" i="79"/>
  <c r="AS26" i="79"/>
  <c r="AO30" i="79"/>
  <c r="AS30" i="79"/>
  <c r="AO3" i="79"/>
  <c r="AS3" i="79"/>
  <c r="AO11" i="79"/>
  <c r="AS11" i="79"/>
  <c r="AO19" i="79"/>
  <c r="AS19" i="79"/>
  <c r="AO31" i="79"/>
  <c r="AS31" i="79"/>
  <c r="AO7" i="79"/>
  <c r="AS7" i="79"/>
  <c r="AO15" i="79"/>
  <c r="AS15" i="79"/>
  <c r="AO23" i="79"/>
  <c r="AS23" i="79"/>
  <c r="AO27" i="79"/>
  <c r="AS27" i="79"/>
  <c r="AT4" i="79"/>
  <c r="AO4" i="79"/>
  <c r="AS4" i="79"/>
  <c r="AT20" i="79"/>
  <c r="AO20" i="79"/>
  <c r="AS20" i="79"/>
  <c r="AT28" i="79"/>
  <c r="AO28" i="79"/>
  <c r="AS28" i="79"/>
  <c r="AT12" i="79"/>
  <c r="AO12" i="79"/>
  <c r="AS12" i="79"/>
  <c r="AT16" i="79"/>
  <c r="AO16" i="79"/>
  <c r="AS16" i="79"/>
  <c r="AT24" i="79"/>
  <c r="AO24" i="79"/>
  <c r="AS24" i="79"/>
  <c r="AT32" i="79"/>
  <c r="AO32" i="79"/>
  <c r="AS32" i="79"/>
  <c r="AO5" i="79"/>
  <c r="AS5" i="79"/>
  <c r="AO9" i="79"/>
  <c r="AS9" i="79"/>
  <c r="AO13" i="79"/>
  <c r="AS13" i="79"/>
  <c r="AN17" i="79"/>
  <c r="AR17" i="79" s="1"/>
  <c r="AO17" i="79"/>
  <c r="AS17" i="79"/>
  <c r="AO21" i="79"/>
  <c r="AS21" i="79"/>
  <c r="AN25" i="79"/>
  <c r="AR25" i="79" s="1"/>
  <c r="AO25" i="79"/>
  <c r="AS25" i="79"/>
  <c r="AT29" i="79"/>
  <c r="AO29" i="79"/>
  <c r="AS29" i="79"/>
  <c r="CL3" i="79"/>
  <c r="CD16" i="79"/>
  <c r="CP32" i="79"/>
  <c r="CY9" i="79"/>
  <c r="DA12" i="79"/>
  <c r="CC17" i="79"/>
  <c r="CD24" i="79"/>
  <c r="CP19" i="79"/>
  <c r="DA13" i="79"/>
  <c r="DK4" i="79"/>
  <c r="DW15" i="79"/>
  <c r="CE24" i="79"/>
  <c r="DW3" i="79"/>
  <c r="DK23" i="79"/>
  <c r="DW9" i="79"/>
  <c r="DU25" i="79"/>
  <c r="BH20" i="79"/>
  <c r="CO20" i="79"/>
  <c r="ED3" i="79"/>
  <c r="CZ13" i="79"/>
  <c r="DV4" i="79"/>
  <c r="DW7" i="79"/>
  <c r="CC14" i="79"/>
  <c r="DU3" i="79"/>
  <c r="BH15" i="79"/>
  <c r="BI18" i="79"/>
  <c r="BG32" i="79"/>
  <c r="BS5" i="79"/>
  <c r="BS8" i="79"/>
  <c r="CN16" i="79"/>
  <c r="BS21" i="79"/>
  <c r="CE8" i="79"/>
  <c r="CF14" i="79"/>
  <c r="CJ14" i="79" s="1"/>
  <c r="CE29" i="79"/>
  <c r="CP8" i="79"/>
  <c r="CW17" i="79"/>
  <c r="DL22" i="79"/>
  <c r="DL30" i="79"/>
  <c r="DU29" i="79"/>
  <c r="EH5" i="79"/>
  <c r="BG15" i="79"/>
  <c r="BH31" i="79"/>
  <c r="CD5" i="79"/>
  <c r="CD25" i="79"/>
  <c r="BG4" i="79"/>
  <c r="BG20" i="79"/>
  <c r="BG27" i="79"/>
  <c r="BS29" i="79"/>
  <c r="CF4" i="79"/>
  <c r="CJ4" i="79" s="1"/>
  <c r="CE25" i="79"/>
  <c r="CE28" i="79"/>
  <c r="CQ9" i="79"/>
  <c r="CU9" i="79" s="1"/>
  <c r="CP20" i="79"/>
  <c r="CQ22" i="79"/>
  <c r="CU22" i="79" s="1"/>
  <c r="CO31" i="79"/>
  <c r="DB4" i="79"/>
  <c r="DF4" i="79" s="1"/>
  <c r="DJ18" i="79"/>
  <c r="DK20" i="79"/>
  <c r="DJ26" i="79"/>
  <c r="DW32" i="79"/>
  <c r="EG4" i="79"/>
  <c r="DA31" i="79"/>
  <c r="DL14" i="79"/>
  <c r="DV17" i="79"/>
  <c r="EG9" i="79"/>
  <c r="BH4" i="79"/>
  <c r="BI11" i="79"/>
  <c r="BG24" i="79"/>
  <c r="BI26" i="79"/>
  <c r="BG28" i="79"/>
  <c r="BG31" i="79"/>
  <c r="CC5" i="79"/>
  <c r="CF10" i="79"/>
  <c r="CJ10" i="79" s="1"/>
  <c r="CD17" i="79"/>
  <c r="CC25" i="79"/>
  <c r="CD29" i="79"/>
  <c r="CQ6" i="79"/>
  <c r="CU6" i="79" s="1"/>
  <c r="CO19" i="79"/>
  <c r="CN20" i="79"/>
  <c r="CQ21" i="79"/>
  <c r="CU21" i="79" s="1"/>
  <c r="CN32" i="79"/>
  <c r="CY13" i="79"/>
  <c r="CY14" i="79"/>
  <c r="DJ10" i="79"/>
  <c r="DK12" i="79"/>
  <c r="DK27" i="79"/>
  <c r="DJ30" i="79"/>
  <c r="DK31" i="79"/>
  <c r="DV16" i="79"/>
  <c r="DW17" i="79"/>
  <c r="DW25" i="79"/>
  <c r="DV33" i="79"/>
  <c r="EF5" i="79"/>
  <c r="EF13" i="79"/>
  <c r="BG7" i="79"/>
  <c r="BI10" i="79"/>
  <c r="BG12" i="79"/>
  <c r="BI15" i="79"/>
  <c r="BI19" i="79"/>
  <c r="BG23" i="79"/>
  <c r="BI27" i="79"/>
  <c r="BH28" i="79"/>
  <c r="BI30" i="79"/>
  <c r="BI31" i="79"/>
  <c r="CA3" i="79"/>
  <c r="BS13" i="79"/>
  <c r="BS16" i="79"/>
  <c r="BS24" i="79"/>
  <c r="BS32" i="79"/>
  <c r="CL4" i="79"/>
  <c r="CE5" i="79"/>
  <c r="CF7" i="79"/>
  <c r="CJ7" i="79" s="1"/>
  <c r="CE16" i="79"/>
  <c r="CE17" i="79"/>
  <c r="CE27" i="79"/>
  <c r="CN12" i="79"/>
  <c r="CQ13" i="79"/>
  <c r="CU13" i="79" s="1"/>
  <c r="CO15" i="79"/>
  <c r="CO16" i="79"/>
  <c r="CO23" i="79"/>
  <c r="CN24" i="79"/>
  <c r="DK3" i="79"/>
  <c r="CZ8" i="79"/>
  <c r="DA9" i="79"/>
  <c r="DA19" i="79"/>
  <c r="CZ24" i="79"/>
  <c r="CY25" i="79"/>
  <c r="CZ29" i="79"/>
  <c r="CY33" i="79"/>
  <c r="DJ6" i="79"/>
  <c r="DK7" i="79"/>
  <c r="DK11" i="79"/>
  <c r="DJ28" i="79"/>
  <c r="DU5" i="79"/>
  <c r="DU13" i="79"/>
  <c r="DU21" i="79"/>
  <c r="DU23" i="79"/>
  <c r="DV24" i="79"/>
  <c r="DV25" i="79"/>
  <c r="DW29" i="79"/>
  <c r="DW31" i="79"/>
  <c r="DW33" i="79"/>
  <c r="EH11" i="79"/>
  <c r="EG13" i="79"/>
  <c r="EH15" i="79"/>
  <c r="EF17" i="79"/>
  <c r="BH7" i="79"/>
  <c r="BH12" i="79"/>
  <c r="BH23" i="79"/>
  <c r="BS3" i="79"/>
  <c r="BT16" i="79"/>
  <c r="BT24" i="79"/>
  <c r="BT32" i="79"/>
  <c r="CE33" i="79"/>
  <c r="CN9" i="79"/>
  <c r="CP12" i="79"/>
  <c r="CP22" i="79"/>
  <c r="CP23" i="79"/>
  <c r="CO24" i="79"/>
  <c r="CP30" i="79"/>
  <c r="DL3" i="79"/>
  <c r="CZ4" i="79"/>
  <c r="CZ12" i="79"/>
  <c r="DA24" i="79"/>
  <c r="CZ25" i="79"/>
  <c r="CZ32" i="79"/>
  <c r="DA33" i="79"/>
  <c r="DL6" i="79"/>
  <c r="DJ14" i="79"/>
  <c r="DK15" i="79"/>
  <c r="DK19" i="79"/>
  <c r="DK28" i="79"/>
  <c r="DV5" i="79"/>
  <c r="DV13" i="79"/>
  <c r="DW23" i="79"/>
  <c r="EG17" i="79"/>
  <c r="BI7" i="79"/>
  <c r="BI23" i="79"/>
  <c r="BT3" i="79"/>
  <c r="CN3" i="79"/>
  <c r="CP24" i="79"/>
  <c r="DS3" i="79"/>
  <c r="DA25" i="79"/>
  <c r="DW5" i="79"/>
  <c r="DW13" i="79"/>
  <c r="DV32" i="79"/>
  <c r="DU33" i="79"/>
  <c r="EG16" i="79"/>
  <c r="EH17" i="79"/>
  <c r="CO7" i="79"/>
  <c r="CO27" i="79"/>
  <c r="EF3" i="79"/>
  <c r="EE2" i="79"/>
  <c r="EH3" i="79"/>
  <c r="DH17" i="79"/>
  <c r="DA17" i="79"/>
  <c r="CY17" i="79"/>
  <c r="DH21" i="79"/>
  <c r="CY21" i="79"/>
  <c r="DA21" i="79"/>
  <c r="BR4" i="79"/>
  <c r="BT7" i="79"/>
  <c r="BT8" i="79"/>
  <c r="BR9" i="79"/>
  <c r="BR12" i="79"/>
  <c r="BT15" i="79"/>
  <c r="BR17" i="79"/>
  <c r="BR20" i="79"/>
  <c r="BT23" i="79"/>
  <c r="BR25" i="79"/>
  <c r="BR28" i="79"/>
  <c r="BT31" i="79"/>
  <c r="BR33" i="79"/>
  <c r="CL7" i="79"/>
  <c r="CC9" i="79"/>
  <c r="CE11" i="79"/>
  <c r="CC13" i="79"/>
  <c r="CD20" i="79"/>
  <c r="CC21" i="79"/>
  <c r="CC30" i="79"/>
  <c r="CO3" i="79"/>
  <c r="CW4" i="79"/>
  <c r="CP7" i="79"/>
  <c r="EO3" i="79"/>
  <c r="CZ3" i="79"/>
  <c r="DH3" i="79"/>
  <c r="DH5" i="79"/>
  <c r="DA5" i="79"/>
  <c r="CY5" i="79"/>
  <c r="DB11" i="79"/>
  <c r="DF11" i="79" s="1"/>
  <c r="CZ17" i="79"/>
  <c r="CZ21" i="79"/>
  <c r="DA27" i="79"/>
  <c r="BI6" i="79"/>
  <c r="BG8" i="79"/>
  <c r="BG11" i="79"/>
  <c r="BI14" i="79"/>
  <c r="BG16" i="79"/>
  <c r="BG19" i="79"/>
  <c r="BI22" i="79"/>
  <c r="BS4" i="79"/>
  <c r="BS9" i="79"/>
  <c r="BS12" i="79"/>
  <c r="BS17" i="79"/>
  <c r="BS20" i="79"/>
  <c r="BS25" i="79"/>
  <c r="BS28" i="79"/>
  <c r="BS33" i="79"/>
  <c r="CD3" i="79"/>
  <c r="CC7" i="79"/>
  <c r="CD9" i="79"/>
  <c r="CD13" i="79"/>
  <c r="CE20" i="79"/>
  <c r="CD21" i="79"/>
  <c r="CF26" i="79"/>
  <c r="CJ26" i="79" s="1"/>
  <c r="CF30" i="79"/>
  <c r="CJ30" i="79" s="1"/>
  <c r="CD32" i="79"/>
  <c r="CC33" i="79"/>
  <c r="CN4" i="79"/>
  <c r="CW12" i="79"/>
  <c r="CO12" i="79"/>
  <c r="CP14" i="79"/>
  <c r="CW16" i="79"/>
  <c r="CP16" i="79"/>
  <c r="CP18" i="79"/>
  <c r="CW28" i="79"/>
  <c r="CN28" i="79"/>
  <c r="CP28" i="79"/>
  <c r="EG3" i="79"/>
  <c r="CZ5" i="79"/>
  <c r="CZ16" i="79"/>
  <c r="CZ20" i="79"/>
  <c r="CZ28" i="79"/>
  <c r="BH8" i="79"/>
  <c r="BH11" i="79"/>
  <c r="BH16" i="79"/>
  <c r="BH19" i="79"/>
  <c r="BH24" i="79"/>
  <c r="BH27" i="79"/>
  <c r="BT4" i="79"/>
  <c r="BR5" i="79"/>
  <c r="BR8" i="79"/>
  <c r="BT11" i="79"/>
  <c r="BT12" i="79"/>
  <c r="BR13" i="79"/>
  <c r="BR16" i="79"/>
  <c r="BT19" i="79"/>
  <c r="BT20" i="79"/>
  <c r="BR21" i="79"/>
  <c r="BR24" i="79"/>
  <c r="BT27" i="79"/>
  <c r="BT28" i="79"/>
  <c r="BR29" i="79"/>
  <c r="BR32" i="79"/>
  <c r="CE3" i="79"/>
  <c r="CE9" i="79"/>
  <c r="CE13" i="79"/>
  <c r="CE21" i="79"/>
  <c r="CD28" i="79"/>
  <c r="CC29" i="79"/>
  <c r="CE32" i="79"/>
  <c r="CD33" i="79"/>
  <c r="CW3" i="79"/>
  <c r="CO4" i="79"/>
  <c r="CW8" i="79"/>
  <c r="CN8" i="79"/>
  <c r="CP11" i="79"/>
  <c r="CP26" i="79"/>
  <c r="CY3" i="79"/>
  <c r="DA16" i="79"/>
  <c r="DA20" i="79"/>
  <c r="DA28" i="79"/>
  <c r="DU11" i="79"/>
  <c r="DV12" i="79"/>
  <c r="EH12" i="79"/>
  <c r="CP31" i="79"/>
  <c r="CO32" i="79"/>
  <c r="DA4" i="79"/>
  <c r="DA8" i="79"/>
  <c r="CZ9" i="79"/>
  <c r="DA29" i="79"/>
  <c r="DA32" i="79"/>
  <c r="CZ33" i="79"/>
  <c r="DL4" i="79"/>
  <c r="DJ8" i="79"/>
  <c r="DL10" i="79"/>
  <c r="DL12" i="79"/>
  <c r="DJ16" i="79"/>
  <c r="DL18" i="79"/>
  <c r="DL20" i="79"/>
  <c r="DJ24" i="79"/>
  <c r="DL26" i="79"/>
  <c r="DL28" i="79"/>
  <c r="DJ32" i="79"/>
  <c r="DU9" i="79"/>
  <c r="DW11" i="79"/>
  <c r="ED14" i="79"/>
  <c r="DU19" i="79"/>
  <c r="DV20" i="79"/>
  <c r="DV21" i="79"/>
  <c r="DU27" i="79"/>
  <c r="DV28" i="79"/>
  <c r="DV29" i="79"/>
  <c r="EH4" i="79"/>
  <c r="EG5" i="79"/>
  <c r="EG8" i="79"/>
  <c r="EF9" i="79"/>
  <c r="EO11" i="79"/>
  <c r="EH13" i="79"/>
  <c r="EH16" i="79"/>
  <c r="DK8" i="79"/>
  <c r="DK16" i="79"/>
  <c r="DK24" i="79"/>
  <c r="DK32" i="79"/>
  <c r="DU7" i="79"/>
  <c r="DV8" i="79"/>
  <c r="DV9" i="79"/>
  <c r="DU17" i="79"/>
  <c r="DW19" i="79"/>
  <c r="DW21" i="79"/>
  <c r="DW27" i="79"/>
  <c r="EH8" i="79"/>
  <c r="CY29" i="79"/>
  <c r="DJ4" i="79"/>
  <c r="DL8" i="79"/>
  <c r="DJ12" i="79"/>
  <c r="DL16" i="79"/>
  <c r="DJ20" i="79"/>
  <c r="DL24" i="79"/>
  <c r="DL32" i="79"/>
  <c r="DU31" i="79"/>
  <c r="EH7" i="79"/>
  <c r="EH9" i="79"/>
  <c r="EG12" i="79"/>
  <c r="EO6" i="79"/>
  <c r="EI10" i="79"/>
  <c r="EM10" i="79" s="1"/>
  <c r="EO10" i="79"/>
  <c r="EI14" i="79"/>
  <c r="EM14" i="79" s="1"/>
  <c r="EO14" i="79"/>
  <c r="EF6" i="79"/>
  <c r="EI7" i="79"/>
  <c r="EM7" i="79" s="1"/>
  <c r="EO7" i="79"/>
  <c r="EF10" i="79"/>
  <c r="EI11" i="79"/>
  <c r="EM11" i="79" s="1"/>
  <c r="EF14" i="79"/>
  <c r="EI15" i="79"/>
  <c r="EM15" i="79" s="1"/>
  <c r="EO15" i="79"/>
  <c r="EI4" i="79"/>
  <c r="EM4" i="79" s="1"/>
  <c r="EO4" i="79"/>
  <c r="EG6" i="79"/>
  <c r="EG10" i="79"/>
  <c r="EF11" i="79"/>
  <c r="EI12" i="79"/>
  <c r="EM12" i="79" s="1"/>
  <c r="EO12" i="79"/>
  <c r="EG14" i="79"/>
  <c r="EI16" i="79"/>
  <c r="EM16" i="79" s="1"/>
  <c r="EO16" i="79"/>
  <c r="EI6" i="79"/>
  <c r="EM6" i="79" s="1"/>
  <c r="EF7" i="79"/>
  <c r="EI8" i="79"/>
  <c r="EM8" i="79" s="1"/>
  <c r="EO8" i="79"/>
  <c r="EF15" i="79"/>
  <c r="EF4" i="79"/>
  <c r="EI5" i="79"/>
  <c r="EM5" i="79" s="1"/>
  <c r="EG7" i="79"/>
  <c r="EF8" i="79"/>
  <c r="EI9" i="79"/>
  <c r="EM9" i="79" s="1"/>
  <c r="EG11" i="79"/>
  <c r="EF12" i="79"/>
  <c r="EI13" i="79"/>
  <c r="EM13" i="79" s="1"/>
  <c r="EG15" i="79"/>
  <c r="EF16" i="79"/>
  <c r="EI17" i="79"/>
  <c r="EM17" i="79" s="1"/>
  <c r="DX14" i="79"/>
  <c r="EB14" i="79" s="1"/>
  <c r="DX26" i="79"/>
  <c r="EB26" i="79" s="1"/>
  <c r="ED26" i="79"/>
  <c r="DX30" i="79"/>
  <c r="EB30" i="79" s="1"/>
  <c r="ED30" i="79"/>
  <c r="DX10" i="79"/>
  <c r="EB10" i="79" s="1"/>
  <c r="ED10" i="79"/>
  <c r="DX18" i="79"/>
  <c r="EB18" i="79" s="1"/>
  <c r="ED18" i="79"/>
  <c r="DX22" i="79"/>
  <c r="EB22" i="79" s="1"/>
  <c r="ED22" i="79"/>
  <c r="DW4" i="79"/>
  <c r="DU6" i="79"/>
  <c r="DX7" i="79"/>
  <c r="EB7" i="79" s="1"/>
  <c r="ED7" i="79"/>
  <c r="DW8" i="79"/>
  <c r="DU10" i="79"/>
  <c r="DX11" i="79"/>
  <c r="EB11" i="79" s="1"/>
  <c r="ED11" i="79"/>
  <c r="DW12" i="79"/>
  <c r="DU14" i="79"/>
  <c r="DX15" i="79"/>
  <c r="EB15" i="79" s="1"/>
  <c r="ED15" i="79"/>
  <c r="DW16" i="79"/>
  <c r="DU18" i="79"/>
  <c r="DX19" i="79"/>
  <c r="EB19" i="79" s="1"/>
  <c r="ED19" i="79"/>
  <c r="DW20" i="79"/>
  <c r="DU22" i="79"/>
  <c r="DX23" i="79"/>
  <c r="EB23" i="79" s="1"/>
  <c r="ED23" i="79"/>
  <c r="DW24" i="79"/>
  <c r="DU26" i="79"/>
  <c r="DX27" i="79"/>
  <c r="EB27" i="79" s="1"/>
  <c r="ED27" i="79"/>
  <c r="DW28" i="79"/>
  <c r="DU30" i="79"/>
  <c r="DX31" i="79"/>
  <c r="EB31" i="79" s="1"/>
  <c r="ED31" i="79"/>
  <c r="DV6" i="79"/>
  <c r="DX8" i="79"/>
  <c r="EB8" i="79" s="1"/>
  <c r="ED8" i="79"/>
  <c r="DX12" i="79"/>
  <c r="EB12" i="79" s="1"/>
  <c r="DV14" i="79"/>
  <c r="DX16" i="79"/>
  <c r="EB16" i="79" s="1"/>
  <c r="ED16" i="79"/>
  <c r="DX20" i="79"/>
  <c r="EB20" i="79" s="1"/>
  <c r="ED20" i="79"/>
  <c r="DX24" i="79"/>
  <c r="EB24" i="79" s="1"/>
  <c r="ED24" i="79"/>
  <c r="ED28" i="79"/>
  <c r="DV30" i="79"/>
  <c r="DX32" i="79"/>
  <c r="EB32" i="79" s="1"/>
  <c r="ED32" i="79"/>
  <c r="DX6" i="79"/>
  <c r="EB6" i="79" s="1"/>
  <c r="ED6" i="79"/>
  <c r="DX4" i="79"/>
  <c r="EB4" i="79" s="1"/>
  <c r="ED4" i="79"/>
  <c r="DV10" i="79"/>
  <c r="ED12" i="79"/>
  <c r="DV18" i="79"/>
  <c r="DV22" i="79"/>
  <c r="DV26" i="79"/>
  <c r="DX28" i="79"/>
  <c r="EB28" i="79" s="1"/>
  <c r="DU4" i="79"/>
  <c r="DX5" i="79"/>
  <c r="EB5" i="79" s="1"/>
  <c r="DV7" i="79"/>
  <c r="DU8" i="79"/>
  <c r="DX9" i="79"/>
  <c r="EB9" i="79" s="1"/>
  <c r="DV11" i="79"/>
  <c r="DU12" i="79"/>
  <c r="DX13" i="79"/>
  <c r="EB13" i="79" s="1"/>
  <c r="DV15" i="79"/>
  <c r="DU16" i="79"/>
  <c r="DX17" i="79"/>
  <c r="EB17" i="79" s="1"/>
  <c r="DV19" i="79"/>
  <c r="DU20" i="79"/>
  <c r="DX21" i="79"/>
  <c r="EB21" i="79" s="1"/>
  <c r="DV23" i="79"/>
  <c r="DU24" i="79"/>
  <c r="DX25" i="79"/>
  <c r="EB25" i="79" s="1"/>
  <c r="DV27" i="79"/>
  <c r="DU28" i="79"/>
  <c r="DX29" i="79"/>
  <c r="EB29" i="79" s="1"/>
  <c r="DV31" i="79"/>
  <c r="DU32" i="79"/>
  <c r="DX33" i="79"/>
  <c r="EB33" i="79" s="1"/>
  <c r="DM13" i="79"/>
  <c r="DQ13" i="79" s="1"/>
  <c r="DS13" i="79"/>
  <c r="DM17" i="79"/>
  <c r="DQ17" i="79" s="1"/>
  <c r="DS17" i="79"/>
  <c r="DM21" i="79"/>
  <c r="DQ21" i="79" s="1"/>
  <c r="DS21" i="79"/>
  <c r="DM25" i="79"/>
  <c r="DQ25" i="79" s="1"/>
  <c r="DS25" i="79"/>
  <c r="DM29" i="79"/>
  <c r="DQ29" i="79" s="1"/>
  <c r="DS29" i="79"/>
  <c r="DJ5" i="79"/>
  <c r="DM6" i="79"/>
  <c r="DQ6" i="79" s="1"/>
  <c r="DS6" i="79"/>
  <c r="DL7" i="79"/>
  <c r="DJ9" i="79"/>
  <c r="DM10" i="79"/>
  <c r="DQ10" i="79" s="1"/>
  <c r="DS10" i="79"/>
  <c r="DL11" i="79"/>
  <c r="DJ13" i="79"/>
  <c r="DM14" i="79"/>
  <c r="DQ14" i="79" s="1"/>
  <c r="DS14" i="79"/>
  <c r="DL15" i="79"/>
  <c r="DJ17" i="79"/>
  <c r="DM18" i="79"/>
  <c r="DQ18" i="79" s="1"/>
  <c r="DS18" i="79"/>
  <c r="DL19" i="79"/>
  <c r="DJ21" i="79"/>
  <c r="DM22" i="79"/>
  <c r="DQ22" i="79" s="1"/>
  <c r="DS22" i="79"/>
  <c r="DL23" i="79"/>
  <c r="DJ25" i="79"/>
  <c r="DM26" i="79"/>
  <c r="DQ26" i="79" s="1"/>
  <c r="DS26" i="79"/>
  <c r="DL27" i="79"/>
  <c r="DJ29" i="79"/>
  <c r="DM30" i="79"/>
  <c r="DQ30" i="79" s="1"/>
  <c r="DS30" i="79"/>
  <c r="DL31" i="79"/>
  <c r="DM5" i="79"/>
  <c r="DQ5" i="79" s="1"/>
  <c r="DS5" i="79"/>
  <c r="DK5" i="79"/>
  <c r="DK9" i="79"/>
  <c r="DK13" i="79"/>
  <c r="DM15" i="79"/>
  <c r="DQ15" i="79" s="1"/>
  <c r="DS15" i="79"/>
  <c r="DM19" i="79"/>
  <c r="DQ19" i="79" s="1"/>
  <c r="DS19" i="79"/>
  <c r="DM23" i="79"/>
  <c r="DQ23" i="79" s="1"/>
  <c r="DS23" i="79"/>
  <c r="DM27" i="79"/>
  <c r="DQ27" i="79" s="1"/>
  <c r="DS27" i="79"/>
  <c r="DK29" i="79"/>
  <c r="DM31" i="79"/>
  <c r="DQ31" i="79" s="1"/>
  <c r="DS31" i="79"/>
  <c r="DM9" i="79"/>
  <c r="DQ9" i="79" s="1"/>
  <c r="DS9" i="79"/>
  <c r="DM7" i="79"/>
  <c r="DQ7" i="79" s="1"/>
  <c r="DS7" i="79"/>
  <c r="DM11" i="79"/>
  <c r="DQ11" i="79" s="1"/>
  <c r="DS11" i="79"/>
  <c r="DK17" i="79"/>
  <c r="DK21" i="79"/>
  <c r="DK25" i="79"/>
  <c r="DM4" i="79"/>
  <c r="DQ4" i="79" s="1"/>
  <c r="DK6" i="79"/>
  <c r="DJ7" i="79"/>
  <c r="DM8" i="79"/>
  <c r="DQ8" i="79" s="1"/>
  <c r="DK10" i="79"/>
  <c r="DJ11" i="79"/>
  <c r="DM12" i="79"/>
  <c r="DQ12" i="79" s="1"/>
  <c r="DK14" i="79"/>
  <c r="DJ15" i="79"/>
  <c r="DM16" i="79"/>
  <c r="DQ16" i="79" s="1"/>
  <c r="DK18" i="79"/>
  <c r="DJ19" i="79"/>
  <c r="DM20" i="79"/>
  <c r="DQ20" i="79" s="1"/>
  <c r="DK22" i="79"/>
  <c r="DJ23" i="79"/>
  <c r="DM24" i="79"/>
  <c r="DQ24" i="79" s="1"/>
  <c r="DK26" i="79"/>
  <c r="DJ27" i="79"/>
  <c r="DM28" i="79"/>
  <c r="DQ28" i="79" s="1"/>
  <c r="DK30" i="79"/>
  <c r="DJ31" i="79"/>
  <c r="DM32" i="79"/>
  <c r="DQ32" i="79" s="1"/>
  <c r="DB10" i="79"/>
  <c r="DF10" i="79" s="1"/>
  <c r="CZ15" i="79"/>
  <c r="CY15" i="79"/>
  <c r="DH15" i="79"/>
  <c r="DA18" i="79"/>
  <c r="CZ18" i="79"/>
  <c r="DH18" i="79"/>
  <c r="DB26" i="79"/>
  <c r="DF26" i="79" s="1"/>
  <c r="DA30" i="79"/>
  <c r="CZ30" i="79"/>
  <c r="CY30" i="79"/>
  <c r="DA6" i="79"/>
  <c r="CZ6" i="79"/>
  <c r="DH6" i="79"/>
  <c r="DA15" i="79"/>
  <c r="CY18" i="79"/>
  <c r="CZ19" i="79"/>
  <c r="CY19" i="79"/>
  <c r="DH19" i="79"/>
  <c r="DA22" i="79"/>
  <c r="CZ22" i="79"/>
  <c r="DH22" i="79"/>
  <c r="DB30" i="79"/>
  <c r="DF30" i="79" s="1"/>
  <c r="CZ7" i="79"/>
  <c r="CY7" i="79"/>
  <c r="DH7" i="79"/>
  <c r="DA10" i="79"/>
  <c r="CZ10" i="79"/>
  <c r="DH10" i="79"/>
  <c r="DB18" i="79"/>
  <c r="DF18" i="79" s="1"/>
  <c r="CZ23" i="79"/>
  <c r="CY23" i="79"/>
  <c r="DH23" i="79"/>
  <c r="DA26" i="79"/>
  <c r="CZ26" i="79"/>
  <c r="DH26" i="79"/>
  <c r="DH30" i="79"/>
  <c r="CY4" i="79"/>
  <c r="DB6" i="79"/>
  <c r="DF6" i="79" s="1"/>
  <c r="DA7" i="79"/>
  <c r="CY10" i="79"/>
  <c r="CZ11" i="79"/>
  <c r="CY11" i="79"/>
  <c r="DH11" i="79"/>
  <c r="DA14" i="79"/>
  <c r="CZ14" i="79"/>
  <c r="DH14" i="79"/>
  <c r="DB22" i="79"/>
  <c r="DF22" i="79" s="1"/>
  <c r="DA23" i="79"/>
  <c r="CY26" i="79"/>
  <c r="DB27" i="79"/>
  <c r="DF27" i="79" s="1"/>
  <c r="DH27" i="79"/>
  <c r="DB31" i="79"/>
  <c r="DF31" i="79" s="1"/>
  <c r="DH31" i="79"/>
  <c r="DB8" i="79"/>
  <c r="DF8" i="79" s="1"/>
  <c r="DH8" i="79"/>
  <c r="DB12" i="79"/>
  <c r="DF12" i="79" s="1"/>
  <c r="DH12" i="79"/>
  <c r="DB16" i="79"/>
  <c r="DF16" i="79" s="1"/>
  <c r="DH16" i="79"/>
  <c r="DB24" i="79"/>
  <c r="DF24" i="79" s="1"/>
  <c r="DH24" i="79"/>
  <c r="DB28" i="79"/>
  <c r="DF28" i="79" s="1"/>
  <c r="CY31" i="79"/>
  <c r="DB32" i="79"/>
  <c r="DF32" i="79" s="1"/>
  <c r="DH32" i="79"/>
  <c r="DB20" i="79"/>
  <c r="DF20" i="79" s="1"/>
  <c r="DH20" i="79"/>
  <c r="CY27" i="79"/>
  <c r="DH28" i="79"/>
  <c r="DB5" i="79"/>
  <c r="DF5" i="79" s="1"/>
  <c r="CY8" i="79"/>
  <c r="DB9" i="79"/>
  <c r="DF9" i="79" s="1"/>
  <c r="CY12" i="79"/>
  <c r="DB13" i="79"/>
  <c r="DF13" i="79" s="1"/>
  <c r="CY16" i="79"/>
  <c r="DB17" i="79"/>
  <c r="DF17" i="79" s="1"/>
  <c r="CY20" i="79"/>
  <c r="DB21" i="79"/>
  <c r="DF21" i="79" s="1"/>
  <c r="CY24" i="79"/>
  <c r="DB25" i="79"/>
  <c r="DF25" i="79" s="1"/>
  <c r="CZ27" i="79"/>
  <c r="CY28" i="79"/>
  <c r="DB29" i="79"/>
  <c r="DF29" i="79" s="1"/>
  <c r="CZ31" i="79"/>
  <c r="CY32" i="79"/>
  <c r="DB33" i="79"/>
  <c r="DF33" i="79" s="1"/>
  <c r="EI3" i="79"/>
  <c r="EM3" i="79" s="1"/>
  <c r="DX3" i="79"/>
  <c r="EB3" i="79" s="1"/>
  <c r="DM3" i="79"/>
  <c r="DQ3" i="79" s="1"/>
  <c r="DA3" i="79"/>
  <c r="DB3" i="79"/>
  <c r="DF3" i="79" s="1"/>
  <c r="CP25" i="79"/>
  <c r="CO25" i="79"/>
  <c r="CN25" i="79"/>
  <c r="CQ25" i="79"/>
  <c r="CU25" i="79" s="1"/>
  <c r="CO10" i="79"/>
  <c r="CN10" i="79"/>
  <c r="CP29" i="79"/>
  <c r="CO29" i="79"/>
  <c r="CN29" i="79"/>
  <c r="CP10" i="79"/>
  <c r="CP5" i="79"/>
  <c r="CO5" i="79"/>
  <c r="CW5" i="79"/>
  <c r="CQ10" i="79"/>
  <c r="CU10" i="79" s="1"/>
  <c r="CW25" i="79"/>
  <c r="CW29" i="79"/>
  <c r="CN5" i="79"/>
  <c r="CO6" i="79"/>
  <c r="CN6" i="79"/>
  <c r="CW6" i="79"/>
  <c r="CP9" i="79"/>
  <c r="CO9" i="79"/>
  <c r="CW9" i="79"/>
  <c r="CP13" i="79"/>
  <c r="CN13" i="79"/>
  <c r="CO13" i="79"/>
  <c r="CP17" i="79"/>
  <c r="CO17" i="79"/>
  <c r="CN17" i="79"/>
  <c r="CP21" i="79"/>
  <c r="CO21" i="79"/>
  <c r="CN21" i="79"/>
  <c r="CQ18" i="79"/>
  <c r="CU18" i="79" s="1"/>
  <c r="CW18" i="79"/>
  <c r="CW22" i="79"/>
  <c r="CQ26" i="79"/>
  <c r="CU26" i="79" s="1"/>
  <c r="CW26" i="79"/>
  <c r="CQ30" i="79"/>
  <c r="CU30" i="79" s="1"/>
  <c r="CW30" i="79"/>
  <c r="CQ7" i="79"/>
  <c r="CU7" i="79" s="1"/>
  <c r="CW7" i="79"/>
  <c r="CN14" i="79"/>
  <c r="CQ15" i="79"/>
  <c r="CU15" i="79" s="1"/>
  <c r="CW15" i="79"/>
  <c r="CQ19" i="79"/>
  <c r="CU19" i="79" s="1"/>
  <c r="CW19" i="79"/>
  <c r="CQ23" i="79"/>
  <c r="CU23" i="79" s="1"/>
  <c r="CW23" i="79"/>
  <c r="CN26" i="79"/>
  <c r="CQ27" i="79"/>
  <c r="CU27" i="79" s="1"/>
  <c r="CQ14" i="79"/>
  <c r="CU14" i="79" s="1"/>
  <c r="CW14" i="79"/>
  <c r="CQ11" i="79"/>
  <c r="CU11" i="79" s="1"/>
  <c r="CW11" i="79"/>
  <c r="CN18" i="79"/>
  <c r="CN22" i="79"/>
  <c r="CW27" i="79"/>
  <c r="CN30" i="79"/>
  <c r="CQ31" i="79"/>
  <c r="CU31" i="79" s="1"/>
  <c r="CW31" i="79"/>
  <c r="CQ4" i="79"/>
  <c r="CU4" i="79" s="1"/>
  <c r="CN7" i="79"/>
  <c r="CQ8" i="79"/>
  <c r="CU8" i="79" s="1"/>
  <c r="CN11" i="79"/>
  <c r="CQ12" i="79"/>
  <c r="CU12" i="79" s="1"/>
  <c r="CO14" i="79"/>
  <c r="CN15" i="79"/>
  <c r="CQ16" i="79"/>
  <c r="CU16" i="79" s="1"/>
  <c r="CO18" i="79"/>
  <c r="CN19" i="79"/>
  <c r="CQ20" i="79"/>
  <c r="CU20" i="79" s="1"/>
  <c r="CO22" i="79"/>
  <c r="CN23" i="79"/>
  <c r="CQ24" i="79"/>
  <c r="CU24" i="79" s="1"/>
  <c r="CO26" i="79"/>
  <c r="CN27" i="79"/>
  <c r="CQ28" i="79"/>
  <c r="CU28" i="79" s="1"/>
  <c r="CO30" i="79"/>
  <c r="CN31" i="79"/>
  <c r="CQ32" i="79"/>
  <c r="CU32" i="79" s="1"/>
  <c r="CP3" i="79"/>
  <c r="CQ3" i="79"/>
  <c r="CU3" i="79" s="1"/>
  <c r="CD31" i="79"/>
  <c r="CC31" i="79"/>
  <c r="CL31" i="79"/>
  <c r="CC6" i="79"/>
  <c r="CD19" i="79"/>
  <c r="CC19" i="79"/>
  <c r="CL19" i="79"/>
  <c r="CE22" i="79"/>
  <c r="CD22" i="79"/>
  <c r="CL22" i="79"/>
  <c r="CE31" i="79"/>
  <c r="CC12" i="79"/>
  <c r="CL12" i="79"/>
  <c r="CF12" i="79"/>
  <c r="CJ12" i="79" s="1"/>
  <c r="CD15" i="79"/>
  <c r="CC15" i="79"/>
  <c r="CL15" i="79"/>
  <c r="CE18" i="79"/>
  <c r="CD18" i="79"/>
  <c r="CL18" i="79"/>
  <c r="CD6" i="79"/>
  <c r="CL6" i="79"/>
  <c r="CF15" i="79"/>
  <c r="CJ15" i="79" s="1"/>
  <c r="CC4" i="79"/>
  <c r="CC8" i="79"/>
  <c r="CL8" i="79"/>
  <c r="CE10" i="79"/>
  <c r="CD10" i="79"/>
  <c r="CL10" i="79"/>
  <c r="CE12" i="79"/>
  <c r="CF18" i="79"/>
  <c r="CJ18" i="79" s="1"/>
  <c r="CD23" i="79"/>
  <c r="CC23" i="79"/>
  <c r="CL23" i="79"/>
  <c r="CE26" i="79"/>
  <c r="CD26" i="79"/>
  <c r="CL26" i="79"/>
  <c r="CF31" i="79"/>
  <c r="CJ31" i="79" s="1"/>
  <c r="CD4" i="79"/>
  <c r="CF6" i="79"/>
  <c r="CJ6" i="79" s="1"/>
  <c r="CD7" i="79"/>
  <c r="CD8" i="79"/>
  <c r="CC10" i="79"/>
  <c r="CD11" i="79"/>
  <c r="CC11" i="79"/>
  <c r="CL11" i="79"/>
  <c r="CE14" i="79"/>
  <c r="CD14" i="79"/>
  <c r="CL14" i="79"/>
  <c r="CF19" i="79"/>
  <c r="CJ19" i="79" s="1"/>
  <c r="CF22" i="79"/>
  <c r="CJ22" i="79" s="1"/>
  <c r="CE23" i="79"/>
  <c r="CC26" i="79"/>
  <c r="CD27" i="79"/>
  <c r="CC27" i="79"/>
  <c r="CL27" i="79"/>
  <c r="CE30" i="79"/>
  <c r="CD30" i="79"/>
  <c r="CL30" i="79"/>
  <c r="CF24" i="79"/>
  <c r="CJ24" i="79" s="1"/>
  <c r="CL24" i="79"/>
  <c r="CF28" i="79"/>
  <c r="CJ28" i="79" s="1"/>
  <c r="CL28" i="79"/>
  <c r="CF32" i="79"/>
  <c r="CJ32" i="79" s="1"/>
  <c r="CF16" i="79"/>
  <c r="CJ16" i="79" s="1"/>
  <c r="CL16" i="79"/>
  <c r="CF20" i="79"/>
  <c r="CJ20" i="79" s="1"/>
  <c r="CL20" i="79"/>
  <c r="CL32" i="79"/>
  <c r="CF5" i="79"/>
  <c r="CJ5" i="79" s="1"/>
  <c r="CF9" i="79"/>
  <c r="CJ9" i="79" s="1"/>
  <c r="CF13" i="79"/>
  <c r="CJ13" i="79" s="1"/>
  <c r="CC16" i="79"/>
  <c r="CF17" i="79"/>
  <c r="CJ17" i="79" s="1"/>
  <c r="CC20" i="79"/>
  <c r="CF21" i="79"/>
  <c r="CJ21" i="79" s="1"/>
  <c r="CC24" i="79"/>
  <c r="CF25" i="79"/>
  <c r="CJ25" i="79" s="1"/>
  <c r="CC28" i="79"/>
  <c r="CF29" i="79"/>
  <c r="CJ29" i="79" s="1"/>
  <c r="CC32" i="79"/>
  <c r="CF33" i="79"/>
  <c r="CJ33" i="79" s="1"/>
  <c r="CC3" i="79"/>
  <c r="CF3" i="79"/>
  <c r="CJ3" i="79" s="1"/>
  <c r="BU10" i="79"/>
  <c r="BY10" i="79" s="1"/>
  <c r="CA10" i="79"/>
  <c r="BU14" i="79"/>
  <c r="BY14" i="79" s="1"/>
  <c r="BU26" i="79"/>
  <c r="BY26" i="79" s="1"/>
  <c r="CA26" i="79"/>
  <c r="BU30" i="79"/>
  <c r="BY30" i="79" s="1"/>
  <c r="CA30" i="79"/>
  <c r="CA22" i="79"/>
  <c r="BR6" i="79"/>
  <c r="BR10" i="79"/>
  <c r="BU19" i="79"/>
  <c r="BY19" i="79" s="1"/>
  <c r="CA19" i="79"/>
  <c r="BR22" i="79"/>
  <c r="BU23" i="79"/>
  <c r="BY23" i="79" s="1"/>
  <c r="CA23" i="79"/>
  <c r="BR26" i="79"/>
  <c r="BU27" i="79"/>
  <c r="BY27" i="79" s="1"/>
  <c r="CA27" i="79"/>
  <c r="BR30" i="79"/>
  <c r="BU6" i="79"/>
  <c r="BY6" i="79" s="1"/>
  <c r="CA6" i="79"/>
  <c r="BU18" i="79"/>
  <c r="BY18" i="79" s="1"/>
  <c r="CA18" i="79"/>
  <c r="BU11" i="79"/>
  <c r="BY11" i="79" s="1"/>
  <c r="CA11" i="79"/>
  <c r="BR14" i="79"/>
  <c r="BU15" i="79"/>
  <c r="BY15" i="79" s="1"/>
  <c r="CA15" i="79"/>
  <c r="BR18" i="79"/>
  <c r="BU31" i="79"/>
  <c r="BY31" i="79" s="1"/>
  <c r="CA31" i="79"/>
  <c r="BU4" i="79"/>
  <c r="BY4" i="79" s="1"/>
  <c r="BT5" i="79"/>
  <c r="BS6" i="79"/>
  <c r="BR7" i="79"/>
  <c r="BU8" i="79"/>
  <c r="BY8" i="79" s="1"/>
  <c r="BT9" i="79"/>
  <c r="BS10" i="79"/>
  <c r="BR11" i="79"/>
  <c r="BU12" i="79"/>
  <c r="BY12" i="79" s="1"/>
  <c r="BT13" i="79"/>
  <c r="BS14" i="79"/>
  <c r="BR15" i="79"/>
  <c r="BU16" i="79"/>
  <c r="BY16" i="79" s="1"/>
  <c r="BT17" i="79"/>
  <c r="BS18" i="79"/>
  <c r="BR19" i="79"/>
  <c r="BU20" i="79"/>
  <c r="BY20" i="79" s="1"/>
  <c r="BT21" i="79"/>
  <c r="BS22" i="79"/>
  <c r="BR23" i="79"/>
  <c r="BU24" i="79"/>
  <c r="BY24" i="79" s="1"/>
  <c r="BT25" i="79"/>
  <c r="BS26" i="79"/>
  <c r="BR27" i="79"/>
  <c r="BU28" i="79"/>
  <c r="BY28" i="79" s="1"/>
  <c r="BT29" i="79"/>
  <c r="BS30" i="79"/>
  <c r="BR31" i="79"/>
  <c r="BU32" i="79"/>
  <c r="BY32" i="79" s="1"/>
  <c r="BT33" i="79"/>
  <c r="CA14" i="79"/>
  <c r="BU22" i="79"/>
  <c r="BY22" i="79" s="1"/>
  <c r="BU7" i="79"/>
  <c r="BY7" i="79" s="1"/>
  <c r="CA7" i="79"/>
  <c r="BU5" i="79"/>
  <c r="BY5" i="79" s="1"/>
  <c r="BS7" i="79"/>
  <c r="BU9" i="79"/>
  <c r="BY9" i="79" s="1"/>
  <c r="BS11" i="79"/>
  <c r="BU13" i="79"/>
  <c r="BY13" i="79" s="1"/>
  <c r="BS15" i="79"/>
  <c r="BU17" i="79"/>
  <c r="BY17" i="79" s="1"/>
  <c r="BS19" i="79"/>
  <c r="BU21" i="79"/>
  <c r="BY21" i="79" s="1"/>
  <c r="BS23" i="79"/>
  <c r="BU25" i="79"/>
  <c r="BY25" i="79" s="1"/>
  <c r="BS27" i="79"/>
  <c r="BU29" i="79"/>
  <c r="BY29" i="79" s="1"/>
  <c r="BS31" i="79"/>
  <c r="BU33" i="79"/>
  <c r="BY33" i="79" s="1"/>
  <c r="BR3" i="79"/>
  <c r="BU3" i="79"/>
  <c r="BY3" i="79" s="1"/>
  <c r="BJ5" i="79"/>
  <c r="BN5" i="79" s="1"/>
  <c r="BP5" i="79"/>
  <c r="BP9" i="79"/>
  <c r="BJ21" i="79"/>
  <c r="BN21" i="79" s="1"/>
  <c r="BP21" i="79"/>
  <c r="BJ25" i="79"/>
  <c r="BN25" i="79" s="1"/>
  <c r="BP25" i="79"/>
  <c r="BJ29" i="79"/>
  <c r="BN29" i="79" s="1"/>
  <c r="BP29" i="79"/>
  <c r="BJ9" i="79"/>
  <c r="BN9" i="79" s="1"/>
  <c r="BJ10" i="79"/>
  <c r="BN10" i="79" s="1"/>
  <c r="BP10" i="79"/>
  <c r="BJ14" i="79"/>
  <c r="BN14" i="79" s="1"/>
  <c r="BP14" i="79"/>
  <c r="BG21" i="79"/>
  <c r="BJ22" i="79"/>
  <c r="BN22" i="79" s="1"/>
  <c r="BP22" i="79"/>
  <c r="BG25" i="79"/>
  <c r="BJ26" i="79"/>
  <c r="BN26" i="79" s="1"/>
  <c r="BP26" i="79"/>
  <c r="BG29" i="79"/>
  <c r="BJ30" i="79"/>
  <c r="BN30" i="79" s="1"/>
  <c r="BP30" i="79"/>
  <c r="BH32" i="79"/>
  <c r="BJ13" i="79"/>
  <c r="BN13" i="79" s="1"/>
  <c r="BP13" i="79"/>
  <c r="BJ6" i="79"/>
  <c r="BN6" i="79" s="1"/>
  <c r="BP6" i="79"/>
  <c r="BG13" i="79"/>
  <c r="BG17" i="79"/>
  <c r="BJ18" i="79"/>
  <c r="BN18" i="79" s="1"/>
  <c r="BP18" i="79"/>
  <c r="BI4" i="79"/>
  <c r="BH5" i="79"/>
  <c r="BG6" i="79"/>
  <c r="BJ7" i="79"/>
  <c r="BN7" i="79" s="1"/>
  <c r="BI8" i="79"/>
  <c r="BH9" i="79"/>
  <c r="BG10" i="79"/>
  <c r="BJ11" i="79"/>
  <c r="BN11" i="79" s="1"/>
  <c r="BI12" i="79"/>
  <c r="BH13" i="79"/>
  <c r="BG14" i="79"/>
  <c r="BJ15" i="79"/>
  <c r="BN15" i="79" s="1"/>
  <c r="BI16" i="79"/>
  <c r="BH17" i="79"/>
  <c r="BG18" i="79"/>
  <c r="BJ19" i="79"/>
  <c r="BN19" i="79" s="1"/>
  <c r="BI20" i="79"/>
  <c r="BH21" i="79"/>
  <c r="BG22" i="79"/>
  <c r="BJ23" i="79"/>
  <c r="BN23" i="79" s="1"/>
  <c r="BI24" i="79"/>
  <c r="BH25" i="79"/>
  <c r="BG26" i="79"/>
  <c r="BJ27" i="79"/>
  <c r="BN27" i="79" s="1"/>
  <c r="BI28" i="79"/>
  <c r="BH29" i="79"/>
  <c r="BG30" i="79"/>
  <c r="BJ31" i="79"/>
  <c r="BN31" i="79" s="1"/>
  <c r="BI32" i="79"/>
  <c r="BJ17" i="79"/>
  <c r="BN17" i="79" s="1"/>
  <c r="BP17" i="79"/>
  <c r="BG5" i="79"/>
  <c r="BG9" i="79"/>
  <c r="BJ4" i="79"/>
  <c r="BN4" i="79" s="1"/>
  <c r="BH6" i="79"/>
  <c r="BJ8" i="79"/>
  <c r="BN8" i="79" s="1"/>
  <c r="BH10" i="79"/>
  <c r="BJ12" i="79"/>
  <c r="BN12" i="79" s="1"/>
  <c r="BH14" i="79"/>
  <c r="BJ16" i="79"/>
  <c r="BN16" i="79" s="1"/>
  <c r="BH18" i="79"/>
  <c r="BJ20" i="79"/>
  <c r="BN20" i="79" s="1"/>
  <c r="BH22" i="79"/>
  <c r="BJ24" i="79"/>
  <c r="BN24" i="79" s="1"/>
  <c r="BH26" i="79"/>
  <c r="BJ28" i="79"/>
  <c r="BN28" i="79" s="1"/>
  <c r="BH30" i="79"/>
  <c r="BJ32" i="79"/>
  <c r="BN32" i="79" s="1"/>
  <c r="BG3" i="79"/>
  <c r="BH3" i="79"/>
  <c r="BI3" i="79"/>
  <c r="BJ3" i="79"/>
  <c r="BN3" i="79" s="1"/>
  <c r="AY26" i="79"/>
  <c r="BC26" i="79" s="1"/>
  <c r="AY14" i="79"/>
  <c r="BC14" i="79" s="1"/>
  <c r="AW25" i="79"/>
  <c r="AX25" i="79"/>
  <c r="AX32" i="79"/>
  <c r="AX9" i="79"/>
  <c r="AV29" i="79"/>
  <c r="AY11" i="79"/>
  <c r="BC11" i="79" s="1"/>
  <c r="AX13" i="79"/>
  <c r="AV21" i="79"/>
  <c r="AX27" i="79"/>
  <c r="AW29" i="79"/>
  <c r="AW33" i="79"/>
  <c r="AW21" i="79"/>
  <c r="AV25" i="79"/>
  <c r="AX29" i="79"/>
  <c r="AX33" i="79"/>
  <c r="AX24" i="79"/>
  <c r="AW16" i="79"/>
  <c r="AV17" i="79"/>
  <c r="AW20" i="79"/>
  <c r="AX31" i="79"/>
  <c r="AX4" i="79"/>
  <c r="AV5" i="79"/>
  <c r="AK28" i="79"/>
  <c r="AY4" i="79"/>
  <c r="BC4" i="79" s="1"/>
  <c r="AW5" i="79"/>
  <c r="AW8" i="79"/>
  <c r="AV9" i="79"/>
  <c r="AW12" i="79"/>
  <c r="AV13" i="79"/>
  <c r="AX16" i="79"/>
  <c r="AW17" i="79"/>
  <c r="AX20" i="79"/>
  <c r="AW28" i="79"/>
  <c r="AX5" i="79"/>
  <c r="AX8" i="79"/>
  <c r="AW9" i="79"/>
  <c r="AX12" i="79"/>
  <c r="AW13" i="79"/>
  <c r="AX17" i="79"/>
  <c r="AX21" i="79"/>
  <c r="AW24" i="79"/>
  <c r="AX28" i="79"/>
  <c r="AW32" i="79"/>
  <c r="AV33" i="79"/>
  <c r="AX6" i="79"/>
  <c r="AV6" i="79"/>
  <c r="BE6" i="79"/>
  <c r="AX15" i="79"/>
  <c r="AV18" i="79"/>
  <c r="AW19" i="79"/>
  <c r="AV19" i="79"/>
  <c r="BE19" i="79"/>
  <c r="AX22" i="79"/>
  <c r="AW22" i="79"/>
  <c r="BE22" i="79"/>
  <c r="AY30" i="79"/>
  <c r="BC30" i="79" s="1"/>
  <c r="AV4" i="79"/>
  <c r="AW6" i="79"/>
  <c r="AW7" i="79"/>
  <c r="AV7" i="79"/>
  <c r="BE7" i="79"/>
  <c r="AX10" i="79"/>
  <c r="AW10" i="79"/>
  <c r="BE10" i="79"/>
  <c r="AX19" i="79"/>
  <c r="AW23" i="79"/>
  <c r="AV23" i="79"/>
  <c r="BE23" i="79"/>
  <c r="AX26" i="79"/>
  <c r="AW26" i="79"/>
  <c r="BE26" i="79"/>
  <c r="AW15" i="79"/>
  <c r="AV15" i="79"/>
  <c r="BE15" i="79"/>
  <c r="AX18" i="79"/>
  <c r="AW18" i="79"/>
  <c r="BE18" i="79"/>
  <c r="AX30" i="79"/>
  <c r="AW30" i="79"/>
  <c r="AV30" i="79"/>
  <c r="AV22" i="79"/>
  <c r="AW4" i="79"/>
  <c r="AY6" i="79"/>
  <c r="BC6" i="79" s="1"/>
  <c r="AX7" i="79"/>
  <c r="AV10" i="79"/>
  <c r="AW11" i="79"/>
  <c r="AV11" i="79"/>
  <c r="BE11" i="79"/>
  <c r="AX14" i="79"/>
  <c r="AW14" i="79"/>
  <c r="BE14" i="79"/>
  <c r="AY19" i="79"/>
  <c r="BC19" i="79" s="1"/>
  <c r="AY22" i="79"/>
  <c r="BC22" i="79" s="1"/>
  <c r="AX23" i="79"/>
  <c r="AV26" i="79"/>
  <c r="AY27" i="79"/>
  <c r="BC27" i="79" s="1"/>
  <c r="BE27" i="79"/>
  <c r="AY31" i="79"/>
  <c r="BC31" i="79" s="1"/>
  <c r="BE31" i="79"/>
  <c r="AY12" i="79"/>
  <c r="BC12" i="79" s="1"/>
  <c r="BE12" i="79"/>
  <c r="AY16" i="79"/>
  <c r="BC16" i="79" s="1"/>
  <c r="BE16" i="79"/>
  <c r="AV27" i="79"/>
  <c r="AY28" i="79"/>
  <c r="BC28" i="79" s="1"/>
  <c r="BE28" i="79"/>
  <c r="AY32" i="79"/>
  <c r="BC32" i="79" s="1"/>
  <c r="BE32" i="79"/>
  <c r="AY8" i="79"/>
  <c r="BC8" i="79" s="1"/>
  <c r="BE8" i="79"/>
  <c r="AY20" i="79"/>
  <c r="BC20" i="79" s="1"/>
  <c r="BE20" i="79"/>
  <c r="AY24" i="79"/>
  <c r="BC24" i="79" s="1"/>
  <c r="BE24" i="79"/>
  <c r="AV31" i="79"/>
  <c r="AY5" i="79"/>
  <c r="BC5" i="79" s="1"/>
  <c r="AV8" i="79"/>
  <c r="AY9" i="79"/>
  <c r="BC9" i="79" s="1"/>
  <c r="AV12" i="79"/>
  <c r="AY13" i="79"/>
  <c r="BC13" i="79" s="1"/>
  <c r="AV16" i="79"/>
  <c r="AY17" i="79"/>
  <c r="BC17" i="79" s="1"/>
  <c r="AV20" i="79"/>
  <c r="AY21" i="79"/>
  <c r="BC21" i="79" s="1"/>
  <c r="AV24" i="79"/>
  <c r="AY25" i="79"/>
  <c r="BC25" i="79" s="1"/>
  <c r="AW27" i="79"/>
  <c r="AV28" i="79"/>
  <c r="AY29" i="79"/>
  <c r="BC29" i="79" s="1"/>
  <c r="AW31" i="79"/>
  <c r="AV32" i="79"/>
  <c r="AY33" i="79"/>
  <c r="BC33" i="79" s="1"/>
  <c r="AW3" i="79"/>
  <c r="AX3" i="79"/>
  <c r="BE3" i="79"/>
  <c r="AV3" i="79"/>
  <c r="AY3" i="79"/>
  <c r="BC3" i="79" s="1"/>
  <c r="AK3" i="79"/>
  <c r="AL4" i="79"/>
  <c r="AM16" i="79"/>
  <c r="AL8" i="79"/>
  <c r="AN10" i="79"/>
  <c r="AR10" i="79" s="1"/>
  <c r="AM8" i="79"/>
  <c r="AM4" i="79"/>
  <c r="AM12" i="79"/>
  <c r="AM15" i="79"/>
  <c r="AK24" i="79"/>
  <c r="AL23" i="79"/>
  <c r="AN13" i="79"/>
  <c r="AR13" i="79" s="1"/>
  <c r="AN14" i="79"/>
  <c r="AR14" i="79" s="1"/>
  <c r="AK16" i="79"/>
  <c r="AK20" i="79"/>
  <c r="AL24" i="79"/>
  <c r="AL27" i="79"/>
  <c r="AL28" i="79"/>
  <c r="AN29" i="79"/>
  <c r="AR29" i="79" s="1"/>
  <c r="AL32" i="79"/>
  <c r="AM7" i="79"/>
  <c r="AK13" i="79"/>
  <c r="AL16" i="79"/>
  <c r="AM24" i="79"/>
  <c r="AM28" i="79"/>
  <c r="AM32" i="79"/>
  <c r="AL3" i="79"/>
  <c r="AM3" i="79"/>
  <c r="AL11" i="79"/>
  <c r="AK12" i="79"/>
  <c r="AT3" i="79"/>
  <c r="AK4" i="79"/>
  <c r="AL7" i="79"/>
  <c r="AK8" i="79"/>
  <c r="AM11" i="79"/>
  <c r="AL12" i="79"/>
  <c r="AL15" i="79"/>
  <c r="AM20" i="79"/>
  <c r="AM31" i="79"/>
  <c r="AM27" i="79"/>
  <c r="AM30" i="79"/>
  <c r="AK17" i="79"/>
  <c r="AL19" i="79"/>
  <c r="AM19" i="79"/>
  <c r="AL20" i="79"/>
  <c r="AM23" i="79"/>
  <c r="AL31" i="79"/>
  <c r="AK32" i="79"/>
  <c r="AL6" i="79"/>
  <c r="AK6" i="79"/>
  <c r="AT6" i="79"/>
  <c r="AM9" i="79"/>
  <c r="AL9" i="79"/>
  <c r="AT9" i="79"/>
  <c r="AN6" i="79"/>
  <c r="AR6" i="79" s="1"/>
  <c r="AN9" i="79"/>
  <c r="AR9" i="79" s="1"/>
  <c r="AL14" i="79"/>
  <c r="AK14" i="79"/>
  <c r="AT14" i="79"/>
  <c r="AM17" i="79"/>
  <c r="AL17" i="79"/>
  <c r="AT17" i="79"/>
  <c r="AM29" i="79"/>
  <c r="AK29" i="79"/>
  <c r="AL29" i="79"/>
  <c r="AL22" i="79"/>
  <c r="AK22" i="79"/>
  <c r="AT22" i="79"/>
  <c r="AM25" i="79"/>
  <c r="AL25" i="79"/>
  <c r="AT25" i="79"/>
  <c r="AM5" i="79"/>
  <c r="AL5" i="79"/>
  <c r="AT5" i="79"/>
  <c r="AL18" i="79"/>
  <c r="AK18" i="79"/>
  <c r="AT18" i="79"/>
  <c r="AM21" i="79"/>
  <c r="AL21" i="79"/>
  <c r="AT21" i="79"/>
  <c r="AK5" i="79"/>
  <c r="AK21" i="79"/>
  <c r="AN5" i="79"/>
  <c r="AR5" i="79" s="1"/>
  <c r="AM6" i="79"/>
  <c r="AK9" i="79"/>
  <c r="AL10" i="79"/>
  <c r="AK10" i="79"/>
  <c r="AT10" i="79"/>
  <c r="AM13" i="79"/>
  <c r="AL13" i="79"/>
  <c r="AT13" i="79"/>
  <c r="AN18" i="79"/>
  <c r="AR18" i="79" s="1"/>
  <c r="AN21" i="79"/>
  <c r="AR21" i="79" s="1"/>
  <c r="AM22" i="79"/>
  <c r="AK25" i="79"/>
  <c r="AL26" i="79"/>
  <c r="AT26" i="79"/>
  <c r="AK26" i="79"/>
  <c r="AN26" i="79"/>
  <c r="AR26" i="79" s="1"/>
  <c r="AT30" i="79"/>
  <c r="AN23" i="79"/>
  <c r="AR23" i="79" s="1"/>
  <c r="AT23" i="79"/>
  <c r="AK30" i="79"/>
  <c r="AN31" i="79"/>
  <c r="AR31" i="79" s="1"/>
  <c r="AT31" i="79"/>
  <c r="AN30" i="79"/>
  <c r="AR30" i="79" s="1"/>
  <c r="AN7" i="79"/>
  <c r="AR7" i="79" s="1"/>
  <c r="AT7" i="79"/>
  <c r="AN11" i="79"/>
  <c r="AR11" i="79" s="1"/>
  <c r="AT11" i="79"/>
  <c r="AN15" i="79"/>
  <c r="AR15" i="79" s="1"/>
  <c r="AT15" i="79"/>
  <c r="AN19" i="79"/>
  <c r="AR19" i="79" s="1"/>
  <c r="AT19" i="79"/>
  <c r="AN27" i="79"/>
  <c r="AR27" i="79" s="1"/>
  <c r="AT27" i="79"/>
  <c r="AN4" i="79"/>
  <c r="AR4" i="79" s="1"/>
  <c r="AK7" i="79"/>
  <c r="AN8" i="79"/>
  <c r="AR8" i="79" s="1"/>
  <c r="AK11" i="79"/>
  <c r="AN12" i="79"/>
  <c r="AR12" i="79" s="1"/>
  <c r="AK15" i="79"/>
  <c r="AN16" i="79"/>
  <c r="AR16" i="79" s="1"/>
  <c r="AK19" i="79"/>
  <c r="AN20" i="79"/>
  <c r="AR20" i="79" s="1"/>
  <c r="AK23" i="79"/>
  <c r="AN24" i="79"/>
  <c r="AR24" i="79" s="1"/>
  <c r="AK27" i="79"/>
  <c r="AN28" i="79"/>
  <c r="AR28" i="79" s="1"/>
  <c r="AL30" i="79"/>
  <c r="AK31" i="79"/>
  <c r="AN32" i="79"/>
  <c r="AR32" i="79" s="1"/>
  <c r="AN3" i="79"/>
  <c r="AR3" i="79" s="1"/>
  <c r="AE35" i="79"/>
  <c r="BL35" i="79"/>
  <c r="Y33" i="79"/>
  <c r="Y32" i="79"/>
  <c r="Y31" i="79"/>
  <c r="Y30" i="79"/>
  <c r="Y29" i="79"/>
  <c r="Y28" i="79"/>
  <c r="Y27" i="79"/>
  <c r="Y26" i="79"/>
  <c r="Y25" i="79"/>
  <c r="Y24" i="79"/>
  <c r="Y23" i="79"/>
  <c r="Y22" i="79"/>
  <c r="Y21" i="79"/>
  <c r="Y20" i="79"/>
  <c r="Y19" i="79"/>
  <c r="Y18" i="79"/>
  <c r="Y17" i="79"/>
  <c r="Y16" i="79"/>
  <c r="Y15" i="79"/>
  <c r="Y14" i="79"/>
  <c r="Y13" i="79"/>
  <c r="Y12" i="79"/>
  <c r="Y11" i="79"/>
  <c r="Y10" i="79"/>
  <c r="Y9" i="79"/>
  <c r="Y8" i="79"/>
  <c r="Y7" i="79"/>
  <c r="Y6" i="79"/>
  <c r="Y5" i="79"/>
  <c r="Y4" i="79"/>
  <c r="Y3" i="79"/>
  <c r="AH37" i="79"/>
  <c r="AE37" i="79"/>
  <c r="CU37" i="79"/>
  <c r="N4" i="79"/>
  <c r="N5" i="79"/>
  <c r="N6" i="79"/>
  <c r="N7" i="79"/>
  <c r="N8" i="79"/>
  <c r="N9" i="79"/>
  <c r="N10" i="79"/>
  <c r="N11" i="79"/>
  <c r="N12" i="79"/>
  <c r="N13" i="79"/>
  <c r="N14" i="79"/>
  <c r="N15" i="79"/>
  <c r="N16" i="79"/>
  <c r="N17" i="79"/>
  <c r="N18" i="79"/>
  <c r="N19" i="79"/>
  <c r="N20" i="79"/>
  <c r="N21" i="79"/>
  <c r="N22" i="79"/>
  <c r="N23" i="79"/>
  <c r="N24" i="79"/>
  <c r="N25" i="79"/>
  <c r="N26" i="79"/>
  <c r="N27" i="79"/>
  <c r="N28" i="79"/>
  <c r="N29" i="79"/>
  <c r="N30" i="79"/>
  <c r="N3" i="79"/>
  <c r="N31" i="79"/>
  <c r="C4" i="79"/>
  <c r="C5" i="79"/>
  <c r="C6" i="79"/>
  <c r="C7"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C33" i="79"/>
  <c r="C3" i="79"/>
  <c r="Z3" i="79" l="1"/>
  <c r="AD3" i="79"/>
  <c r="AH3" i="79"/>
  <c r="AF7" i="79"/>
  <c r="AD7" i="79"/>
  <c r="AH7" i="79"/>
  <c r="AF11" i="79"/>
  <c r="AD11" i="79"/>
  <c r="AH11" i="79"/>
  <c r="AF15" i="79"/>
  <c r="AD15" i="79"/>
  <c r="AH15" i="79"/>
  <c r="AF19" i="79"/>
  <c r="AD19" i="79"/>
  <c r="AH19" i="79"/>
  <c r="AF23" i="79"/>
  <c r="AD23" i="79"/>
  <c r="AH23" i="79"/>
  <c r="AF27" i="79"/>
  <c r="AD27" i="79"/>
  <c r="AH27" i="79"/>
  <c r="AF31" i="79"/>
  <c r="AD31" i="79"/>
  <c r="AH31" i="79"/>
  <c r="AE12" i="79"/>
  <c r="AD12" i="79"/>
  <c r="AH12" i="79"/>
  <c r="AE20" i="79"/>
  <c r="AD20" i="79"/>
  <c r="AH20" i="79"/>
  <c r="AE28" i="79"/>
  <c r="AD28" i="79"/>
  <c r="AH28" i="79"/>
  <c r="AE8" i="79"/>
  <c r="AD8" i="79"/>
  <c r="AH8" i="79"/>
  <c r="AE16" i="79"/>
  <c r="AD16" i="79"/>
  <c r="AH16" i="79"/>
  <c r="AE24" i="79"/>
  <c r="AD24" i="79"/>
  <c r="AH24" i="79"/>
  <c r="AE32" i="79"/>
  <c r="AD32" i="79"/>
  <c r="AH32" i="79"/>
  <c r="AI5" i="79"/>
  <c r="AD5" i="79"/>
  <c r="AH5" i="79"/>
  <c r="AI9" i="79"/>
  <c r="AD9" i="79"/>
  <c r="AH9" i="79"/>
  <c r="AI13" i="79"/>
  <c r="AD13" i="79"/>
  <c r="AH13" i="79"/>
  <c r="AI17" i="79"/>
  <c r="AD17" i="79"/>
  <c r="AH17" i="79"/>
  <c r="AI21" i="79"/>
  <c r="AD21" i="79"/>
  <c r="AH21" i="79"/>
  <c r="AI25" i="79"/>
  <c r="AD25" i="79"/>
  <c r="AH25" i="79"/>
  <c r="AI29" i="79"/>
  <c r="AD29" i="79"/>
  <c r="AH29" i="79"/>
  <c r="AI33" i="79"/>
  <c r="AD33" i="79"/>
  <c r="AH33" i="79"/>
  <c r="AI4" i="79"/>
  <c r="AD4" i="79"/>
  <c r="AH4" i="79"/>
  <c r="AB6" i="79"/>
  <c r="AD6" i="79"/>
  <c r="AH6" i="79"/>
  <c r="AB10" i="79"/>
  <c r="AD10" i="79"/>
  <c r="AH10" i="79"/>
  <c r="AB14" i="79"/>
  <c r="AD14" i="79"/>
  <c r="AH14" i="79"/>
  <c r="AB18" i="79"/>
  <c r="AD18" i="79"/>
  <c r="AH18" i="79"/>
  <c r="AB22" i="79"/>
  <c r="AD22" i="79"/>
  <c r="AH22" i="79"/>
  <c r="AB26" i="79"/>
  <c r="AD26" i="79"/>
  <c r="AH26" i="79"/>
  <c r="AB30" i="79"/>
  <c r="AD30" i="79"/>
  <c r="AH30" i="79"/>
  <c r="U31" i="79"/>
  <c r="H31" i="79"/>
  <c r="L31" i="79"/>
  <c r="H19" i="79"/>
  <c r="L19" i="79"/>
  <c r="H11" i="79"/>
  <c r="L11" i="79"/>
  <c r="P28" i="79"/>
  <c r="S28" i="79"/>
  <c r="W28" i="79"/>
  <c r="O16" i="79"/>
  <c r="W16" i="79"/>
  <c r="S16" i="79"/>
  <c r="H23" i="79"/>
  <c r="L23" i="79"/>
  <c r="H15" i="79"/>
  <c r="L15" i="79"/>
  <c r="H7" i="79"/>
  <c r="L7" i="79"/>
  <c r="P24" i="79"/>
  <c r="W24" i="79"/>
  <c r="S24" i="79"/>
  <c r="O12" i="79"/>
  <c r="W12" i="79"/>
  <c r="S12" i="79"/>
  <c r="O8" i="79"/>
  <c r="W8" i="79"/>
  <c r="S8" i="79"/>
  <c r="O4" i="79"/>
  <c r="S4" i="79"/>
  <c r="W4" i="79"/>
  <c r="H30" i="79"/>
  <c r="L30" i="79"/>
  <c r="H22" i="79"/>
  <c r="L22" i="79"/>
  <c r="H14" i="79"/>
  <c r="L14" i="79"/>
  <c r="H6" i="79"/>
  <c r="L6" i="79"/>
  <c r="O27" i="79"/>
  <c r="W27" i="79"/>
  <c r="S27" i="79"/>
  <c r="O15" i="79"/>
  <c r="W15" i="79"/>
  <c r="S15" i="79"/>
  <c r="O31" i="79"/>
  <c r="H33" i="79"/>
  <c r="L33" i="79"/>
  <c r="H25" i="79"/>
  <c r="L25" i="79"/>
  <c r="H17" i="79"/>
  <c r="L17" i="79"/>
  <c r="H5" i="79"/>
  <c r="L5" i="79"/>
  <c r="P26" i="79"/>
  <c r="W26" i="79"/>
  <c r="S26" i="79"/>
  <c r="P18" i="79"/>
  <c r="S18" i="79"/>
  <c r="W18" i="79"/>
  <c r="O10" i="79"/>
  <c r="S10" i="79"/>
  <c r="W10" i="79"/>
  <c r="P6" i="79"/>
  <c r="S6" i="79"/>
  <c r="W6" i="79"/>
  <c r="H27" i="79"/>
  <c r="L27" i="79"/>
  <c r="W31" i="79"/>
  <c r="O20" i="79"/>
  <c r="W20" i="79"/>
  <c r="S20" i="79"/>
  <c r="R31" i="79"/>
  <c r="V31" i="79" s="1"/>
  <c r="H3" i="79"/>
  <c r="L3" i="79"/>
  <c r="H26" i="79"/>
  <c r="L26" i="79"/>
  <c r="H18" i="79"/>
  <c r="L18" i="79"/>
  <c r="H10" i="79"/>
  <c r="L10" i="79"/>
  <c r="T3" i="79"/>
  <c r="W3" i="79"/>
  <c r="S3" i="79"/>
  <c r="O23" i="79"/>
  <c r="S23" i="79"/>
  <c r="W23" i="79"/>
  <c r="O19" i="79"/>
  <c r="S19" i="79"/>
  <c r="W19" i="79"/>
  <c r="O11" i="79"/>
  <c r="S11" i="79"/>
  <c r="W11" i="79"/>
  <c r="O7" i="79"/>
  <c r="W7" i="79"/>
  <c r="S7" i="79"/>
  <c r="T31" i="79"/>
  <c r="H29" i="79"/>
  <c r="L29" i="79"/>
  <c r="H21" i="79"/>
  <c r="L21" i="79"/>
  <c r="H13" i="79"/>
  <c r="L13" i="79"/>
  <c r="H9" i="79"/>
  <c r="L9" i="79"/>
  <c r="P30" i="79"/>
  <c r="S30" i="79"/>
  <c r="W30" i="79"/>
  <c r="O22" i="79"/>
  <c r="S22" i="79"/>
  <c r="W22" i="79"/>
  <c r="O14" i="79"/>
  <c r="S14" i="79"/>
  <c r="W14" i="79"/>
  <c r="P31" i="79"/>
  <c r="H32" i="79"/>
  <c r="L32" i="79"/>
  <c r="H28" i="79"/>
  <c r="L28" i="79"/>
  <c r="H24" i="79"/>
  <c r="L24" i="79"/>
  <c r="H20" i="79"/>
  <c r="L20" i="79"/>
  <c r="H16" i="79"/>
  <c r="L16" i="79"/>
  <c r="H12" i="79"/>
  <c r="L12" i="79"/>
  <c r="H8" i="79"/>
  <c r="L8" i="79"/>
  <c r="H4" i="79"/>
  <c r="L4" i="79"/>
  <c r="O29" i="79"/>
  <c r="S29" i="79"/>
  <c r="W29" i="79"/>
  <c r="O25" i="79"/>
  <c r="S25" i="79"/>
  <c r="W25" i="79"/>
  <c r="O21" i="79"/>
  <c r="S21" i="79"/>
  <c r="W21" i="79"/>
  <c r="O17" i="79"/>
  <c r="S17" i="79"/>
  <c r="W17" i="79"/>
  <c r="O13" i="79"/>
  <c r="S13" i="79"/>
  <c r="W13" i="79"/>
  <c r="O9" i="79"/>
  <c r="S9" i="79"/>
  <c r="W9" i="79"/>
  <c r="P5" i="79"/>
  <c r="S5" i="79"/>
  <c r="W5" i="79"/>
  <c r="Q31" i="79"/>
  <c r="I23" i="79"/>
  <c r="I15" i="79"/>
  <c r="I7" i="79"/>
  <c r="I22" i="79"/>
  <c r="I27" i="79"/>
  <c r="I30" i="79"/>
  <c r="I18" i="79"/>
  <c r="I10" i="79"/>
  <c r="I33" i="79"/>
  <c r="I21" i="79"/>
  <c r="I13" i="79"/>
  <c r="I5" i="79"/>
  <c r="I31" i="79"/>
  <c r="I19" i="79"/>
  <c r="I11" i="79"/>
  <c r="I3" i="79"/>
  <c r="I26" i="79"/>
  <c r="I14" i="79"/>
  <c r="I6" i="79"/>
  <c r="I29" i="79"/>
  <c r="I25" i="79"/>
  <c r="I17" i="79"/>
  <c r="I9" i="79"/>
  <c r="I32" i="79"/>
  <c r="I28" i="79"/>
  <c r="I24" i="79"/>
  <c r="I20" i="79"/>
  <c r="I16" i="79"/>
  <c r="I12" i="79"/>
  <c r="I8" i="79"/>
  <c r="I4" i="79"/>
  <c r="AA5" i="79"/>
  <c r="AB17" i="79"/>
  <c r="AF28" i="79"/>
  <c r="AA4" i="79"/>
  <c r="AA17" i="79"/>
  <c r="AE4" i="79"/>
  <c r="AF32" i="79"/>
  <c r="AF21" i="79"/>
  <c r="AE3" i="79"/>
  <c r="AB5" i="79"/>
  <c r="AB11" i="79"/>
  <c r="AB13" i="79"/>
  <c r="AB16" i="79"/>
  <c r="AA20" i="79"/>
  <c r="Z21" i="79"/>
  <c r="AF5" i="79"/>
  <c r="AF16" i="79"/>
  <c r="AB20" i="79"/>
  <c r="AA21" i="79"/>
  <c r="AA33" i="79"/>
  <c r="Z5" i="79"/>
  <c r="AF12" i="79"/>
  <c r="AF20" i="79"/>
  <c r="AB21" i="79"/>
  <c r="AB27" i="79"/>
  <c r="AB29" i="79"/>
  <c r="AB32" i="79"/>
  <c r="AB33" i="79"/>
  <c r="AA8" i="79"/>
  <c r="Z9" i="79"/>
  <c r="AF9" i="79"/>
  <c r="AE13" i="79"/>
  <c r="AB31" i="79"/>
  <c r="AF4" i="79"/>
  <c r="AA9" i="79"/>
  <c r="AA12" i="79"/>
  <c r="Z13" i="79"/>
  <c r="AF13" i="79"/>
  <c r="AE25" i="79"/>
  <c r="AI3" i="79"/>
  <c r="AB8" i="79"/>
  <c r="AE17" i="79"/>
  <c r="AB19" i="79"/>
  <c r="AB24" i="79"/>
  <c r="AA25" i="79"/>
  <c r="AA28" i="79"/>
  <c r="Z29" i="79"/>
  <c r="AF29" i="79"/>
  <c r="AE33" i="79"/>
  <c r="Z4" i="79"/>
  <c r="AE5" i="79"/>
  <c r="AB7" i="79"/>
  <c r="AF8" i="79"/>
  <c r="AB9" i="79"/>
  <c r="AB12" i="79"/>
  <c r="AA13" i="79"/>
  <c r="AA16" i="79"/>
  <c r="Z17" i="79"/>
  <c r="AF17" i="79"/>
  <c r="AE21" i="79"/>
  <c r="AB23" i="79"/>
  <c r="AF24" i="79"/>
  <c r="AB25" i="79"/>
  <c r="AB28" i="79"/>
  <c r="AA29" i="79"/>
  <c r="AA32" i="79"/>
  <c r="Z33" i="79"/>
  <c r="AF33" i="79"/>
  <c r="AE9" i="79"/>
  <c r="AB15" i="79"/>
  <c r="AA24" i="79"/>
  <c r="Z25" i="79"/>
  <c r="AF25" i="79"/>
  <c r="AE29" i="79"/>
  <c r="AC22" i="79"/>
  <c r="AG22" i="79" s="1"/>
  <c r="AI22" i="79"/>
  <c r="AI26" i="79"/>
  <c r="AC14" i="79"/>
  <c r="AG14" i="79" s="1"/>
  <c r="AI14" i="79"/>
  <c r="AC30" i="79"/>
  <c r="AG30" i="79" s="1"/>
  <c r="AI30" i="79"/>
  <c r="Z6" i="79"/>
  <c r="AC7" i="79"/>
  <c r="AG7" i="79" s="1"/>
  <c r="AI7" i="79"/>
  <c r="Z10" i="79"/>
  <c r="Z14" i="79"/>
  <c r="AE18" i="79"/>
  <c r="Z22" i="79"/>
  <c r="AC23" i="79"/>
  <c r="AG23" i="79" s="1"/>
  <c r="AI23" i="79"/>
  <c r="Z30" i="79"/>
  <c r="AE30" i="79"/>
  <c r="AC31" i="79"/>
  <c r="AG31" i="79" s="1"/>
  <c r="AI31" i="79"/>
  <c r="AC6" i="79"/>
  <c r="AG6" i="79" s="1"/>
  <c r="AI6" i="79"/>
  <c r="AC18" i="79"/>
  <c r="AG18" i="79" s="1"/>
  <c r="AI18" i="79"/>
  <c r="AC26" i="79"/>
  <c r="AG26" i="79" s="1"/>
  <c r="AE6" i="79"/>
  <c r="AC11" i="79"/>
  <c r="AG11" i="79" s="1"/>
  <c r="AI11" i="79"/>
  <c r="AC15" i="79"/>
  <c r="AG15" i="79" s="1"/>
  <c r="AI15" i="79"/>
  <c r="Z26" i="79"/>
  <c r="AC27" i="79"/>
  <c r="AG27" i="79" s="1"/>
  <c r="Z7" i="79"/>
  <c r="AA10" i="79"/>
  <c r="Z11" i="79"/>
  <c r="AE11" i="79"/>
  <c r="AA14" i="79"/>
  <c r="AF14" i="79"/>
  <c r="Z15" i="79"/>
  <c r="AE15" i="79"/>
  <c r="AC16" i="79"/>
  <c r="AG16" i="79" s="1"/>
  <c r="AI16" i="79"/>
  <c r="AF18" i="79"/>
  <c r="Z19" i="79"/>
  <c r="AC20" i="79"/>
  <c r="AG20" i="79" s="1"/>
  <c r="AI20" i="79"/>
  <c r="AA22" i="79"/>
  <c r="AF22" i="79"/>
  <c r="Z23" i="79"/>
  <c r="AE23" i="79"/>
  <c r="AC24" i="79"/>
  <c r="AG24" i="79" s="1"/>
  <c r="AI24" i="79"/>
  <c r="AA26" i="79"/>
  <c r="AF26" i="79"/>
  <c r="Z27" i="79"/>
  <c r="AE27" i="79"/>
  <c r="AC28" i="79"/>
  <c r="AG28" i="79" s="1"/>
  <c r="AI28" i="79"/>
  <c r="AA30" i="79"/>
  <c r="AF30" i="79"/>
  <c r="Z31" i="79"/>
  <c r="AE31" i="79"/>
  <c r="AC32" i="79"/>
  <c r="AG32" i="79" s="1"/>
  <c r="AI32" i="79"/>
  <c r="AC10" i="79"/>
  <c r="AG10" i="79" s="1"/>
  <c r="AI10" i="79"/>
  <c r="AE10" i="79"/>
  <c r="AE14" i="79"/>
  <c r="Z18" i="79"/>
  <c r="AC19" i="79"/>
  <c r="AG19" i="79" s="1"/>
  <c r="AI19" i="79"/>
  <c r="AE22" i="79"/>
  <c r="AE26" i="79"/>
  <c r="AI27" i="79"/>
  <c r="AA6" i="79"/>
  <c r="AF6" i="79"/>
  <c r="AE7" i="79"/>
  <c r="AC8" i="79"/>
  <c r="AG8" i="79" s="1"/>
  <c r="AI8" i="79"/>
  <c r="AF10" i="79"/>
  <c r="AC12" i="79"/>
  <c r="AG12" i="79" s="1"/>
  <c r="AI12" i="79"/>
  <c r="AA18" i="79"/>
  <c r="AE19" i="79"/>
  <c r="AC5" i="79"/>
  <c r="AG5" i="79" s="1"/>
  <c r="AA7" i="79"/>
  <c r="Z8" i="79"/>
  <c r="AC9" i="79"/>
  <c r="AG9" i="79" s="1"/>
  <c r="AA11" i="79"/>
  <c r="Z12" i="79"/>
  <c r="AC13" i="79"/>
  <c r="AG13" i="79" s="1"/>
  <c r="AA15" i="79"/>
  <c r="Z16" i="79"/>
  <c r="AC17" i="79"/>
  <c r="AG17" i="79" s="1"/>
  <c r="AA19" i="79"/>
  <c r="Z20" i="79"/>
  <c r="AC21" i="79"/>
  <c r="AG21" i="79" s="1"/>
  <c r="AA23" i="79"/>
  <c r="Z24" i="79"/>
  <c r="AC25" i="79"/>
  <c r="AG25" i="79" s="1"/>
  <c r="AA27" i="79"/>
  <c r="Z28" i="79"/>
  <c r="AC29" i="79"/>
  <c r="AG29" i="79" s="1"/>
  <c r="AA31" i="79"/>
  <c r="Z32" i="79"/>
  <c r="AC33" i="79"/>
  <c r="AG33" i="79" s="1"/>
  <c r="AB4" i="79"/>
  <c r="AC4" i="79"/>
  <c r="AG4" i="79" s="1"/>
  <c r="AA3" i="79"/>
  <c r="AF3" i="79"/>
  <c r="AB3" i="79"/>
  <c r="AC3" i="79"/>
  <c r="AG3" i="79" s="1"/>
  <c r="O3" i="79"/>
  <c r="P3" i="79"/>
  <c r="Q8" i="79"/>
  <c r="X21" i="79"/>
  <c r="T30" i="79"/>
  <c r="R27" i="79"/>
  <c r="V27" i="79" s="1"/>
  <c r="P21" i="79"/>
  <c r="R14" i="79"/>
  <c r="V14" i="79" s="1"/>
  <c r="E4" i="79"/>
  <c r="U21" i="79"/>
  <c r="X20" i="79"/>
  <c r="X9" i="79"/>
  <c r="E20" i="79"/>
  <c r="Q25" i="79"/>
  <c r="R22" i="79"/>
  <c r="V22" i="79" s="1"/>
  <c r="R21" i="79"/>
  <c r="V21" i="79" s="1"/>
  <c r="Q20" i="79"/>
  <c r="U17" i="79"/>
  <c r="U14" i="79"/>
  <c r="G14" i="79"/>
  <c r="K14" i="79" s="1"/>
  <c r="U3" i="79"/>
  <c r="Q9" i="79"/>
  <c r="T28" i="79"/>
  <c r="R26" i="79"/>
  <c r="V26" i="79" s="1"/>
  <c r="P9" i="79"/>
  <c r="X13" i="79"/>
  <c r="G29" i="79"/>
  <c r="K29" i="79" s="1"/>
  <c r="F21" i="79"/>
  <c r="F17" i="79"/>
  <c r="E9" i="79"/>
  <c r="G33" i="79"/>
  <c r="K33" i="79" s="1"/>
  <c r="E28" i="79"/>
  <c r="E21" i="79"/>
  <c r="E8" i="79"/>
  <c r="D8" i="79"/>
  <c r="O30" i="79"/>
  <c r="O26" i="79"/>
  <c r="P13" i="79"/>
  <c r="F33" i="79"/>
  <c r="E25" i="79"/>
  <c r="G13" i="79"/>
  <c r="K13" i="79" s="1"/>
  <c r="F5" i="79"/>
  <c r="D5" i="79"/>
  <c r="T24" i="79"/>
  <c r="G30" i="79"/>
  <c r="K30" i="79" s="1"/>
  <c r="E24" i="79"/>
  <c r="G17" i="79"/>
  <c r="K17" i="79" s="1"/>
  <c r="E12" i="79"/>
  <c r="E5" i="79"/>
  <c r="D4" i="79"/>
  <c r="R25" i="79"/>
  <c r="V25" i="79" s="1"/>
  <c r="O24" i="79"/>
  <c r="Q21" i="79"/>
  <c r="R20" i="79"/>
  <c r="V20" i="79" s="1"/>
  <c r="X15" i="79"/>
  <c r="U9" i="79"/>
  <c r="R8" i="79"/>
  <c r="V8" i="79" s="1"/>
  <c r="R19" i="79"/>
  <c r="V19" i="79" s="1"/>
  <c r="O18" i="79"/>
  <c r="Q12" i="79"/>
  <c r="T6" i="79"/>
  <c r="T5" i="79"/>
  <c r="U4" i="79"/>
  <c r="X31" i="79"/>
  <c r="R30" i="79"/>
  <c r="V30" i="79" s="1"/>
  <c r="R28" i="79"/>
  <c r="V28" i="79" s="1"/>
  <c r="E33" i="79"/>
  <c r="F29" i="79"/>
  <c r="G25" i="79"/>
  <c r="K25" i="79" s="1"/>
  <c r="G22" i="79"/>
  <c r="K22" i="79" s="1"/>
  <c r="E17" i="79"/>
  <c r="F13" i="79"/>
  <c r="G9" i="79"/>
  <c r="K9" i="79" s="1"/>
  <c r="G6" i="79"/>
  <c r="K6" i="79" s="1"/>
  <c r="Q3" i="79"/>
  <c r="X30" i="79"/>
  <c r="Q30" i="79"/>
  <c r="Q28" i="79"/>
  <c r="Q14" i="79"/>
  <c r="R6" i="79"/>
  <c r="V6" i="79" s="1"/>
  <c r="R5" i="79"/>
  <c r="V5" i="79" s="1"/>
  <c r="R4" i="79"/>
  <c r="V4" i="79" s="1"/>
  <c r="G26" i="79"/>
  <c r="K26" i="79" s="1"/>
  <c r="G10" i="79"/>
  <c r="K10" i="79" s="1"/>
  <c r="T18" i="79"/>
  <c r="E3" i="79"/>
  <c r="E32" i="79"/>
  <c r="E29" i="79"/>
  <c r="F25" i="79"/>
  <c r="G21" i="79"/>
  <c r="K21" i="79" s="1"/>
  <c r="G18" i="79"/>
  <c r="K18" i="79" s="1"/>
  <c r="E16" i="79"/>
  <c r="E13" i="79"/>
  <c r="F9" i="79"/>
  <c r="G5" i="79"/>
  <c r="K5" i="79" s="1"/>
  <c r="D9" i="79"/>
  <c r="X3" i="79"/>
  <c r="U30" i="79"/>
  <c r="X28" i="79"/>
  <c r="O28" i="79"/>
  <c r="T26" i="79"/>
  <c r="U25" i="79"/>
  <c r="X24" i="79"/>
  <c r="R18" i="79"/>
  <c r="V18" i="79" s="1"/>
  <c r="X14" i="79"/>
  <c r="P14" i="79"/>
  <c r="R10" i="79"/>
  <c r="V10" i="79" s="1"/>
  <c r="R9" i="79"/>
  <c r="V9" i="79" s="1"/>
  <c r="X8" i="79"/>
  <c r="R7" i="79"/>
  <c r="V7" i="79" s="1"/>
  <c r="O6" i="79"/>
  <c r="O5" i="79"/>
  <c r="Q4" i="79"/>
  <c r="D31" i="79"/>
  <c r="D27" i="79"/>
  <c r="D23" i="79"/>
  <c r="D15" i="79"/>
  <c r="G31" i="79"/>
  <c r="K31" i="79" s="1"/>
  <c r="F30" i="79"/>
  <c r="G27" i="79"/>
  <c r="K27" i="79" s="1"/>
  <c r="G11" i="79"/>
  <c r="K11" i="79" s="1"/>
  <c r="F10" i="79"/>
  <c r="D3" i="79"/>
  <c r="D30" i="79"/>
  <c r="D26" i="79"/>
  <c r="D22" i="79"/>
  <c r="D18" i="79"/>
  <c r="D14" i="79"/>
  <c r="R29" i="79"/>
  <c r="V29" i="79" s="1"/>
  <c r="R17" i="79"/>
  <c r="V17" i="79" s="1"/>
  <c r="X16" i="79"/>
  <c r="D19" i="79"/>
  <c r="F3" i="79"/>
  <c r="G23" i="79"/>
  <c r="K23" i="79" s="1"/>
  <c r="F22" i="79"/>
  <c r="G19" i="79"/>
  <c r="K19" i="79" s="1"/>
  <c r="F18" i="79"/>
  <c r="G15" i="79"/>
  <c r="K15" i="79" s="1"/>
  <c r="F14" i="79"/>
  <c r="X22" i="79"/>
  <c r="Q22" i="79"/>
  <c r="U13" i="79"/>
  <c r="X10" i="79"/>
  <c r="Q10" i="79"/>
  <c r="G3" i="79"/>
  <c r="K3" i="79" s="1"/>
  <c r="G32" i="79"/>
  <c r="K32" i="79" s="1"/>
  <c r="F31" i="79"/>
  <c r="E30" i="79"/>
  <c r="G28" i="79"/>
  <c r="K28" i="79" s="1"/>
  <c r="F27" i="79"/>
  <c r="E26" i="79"/>
  <c r="G24" i="79"/>
  <c r="K24" i="79" s="1"/>
  <c r="F23" i="79"/>
  <c r="E22" i="79"/>
  <c r="G20" i="79"/>
  <c r="K20" i="79" s="1"/>
  <c r="F19" i="79"/>
  <c r="E18" i="79"/>
  <c r="G16" i="79"/>
  <c r="K16" i="79" s="1"/>
  <c r="F15" i="79"/>
  <c r="E14" i="79"/>
  <c r="G12" i="79"/>
  <c r="K12" i="79" s="1"/>
  <c r="F11" i="79"/>
  <c r="E10" i="79"/>
  <c r="G8" i="79"/>
  <c r="K8" i="79" s="1"/>
  <c r="F7" i="79"/>
  <c r="E6" i="79"/>
  <c r="G4" i="79"/>
  <c r="K4" i="79" s="1"/>
  <c r="D11" i="79"/>
  <c r="D7" i="79"/>
  <c r="D33" i="79"/>
  <c r="D29" i="79"/>
  <c r="D25" i="79"/>
  <c r="D21" i="79"/>
  <c r="D17" i="79"/>
  <c r="D13" i="79"/>
  <c r="Q29" i="79"/>
  <c r="X26" i="79"/>
  <c r="Q26" i="79"/>
  <c r="X25" i="79"/>
  <c r="P25" i="79"/>
  <c r="R24" i="79"/>
  <c r="V24" i="79" s="1"/>
  <c r="X23" i="79"/>
  <c r="U22" i="79"/>
  <c r="P22" i="79"/>
  <c r="X18" i="79"/>
  <c r="Q18" i="79"/>
  <c r="X17" i="79"/>
  <c r="Q17" i="79"/>
  <c r="R16" i="79"/>
  <c r="V16" i="79" s="1"/>
  <c r="R15" i="79"/>
  <c r="V15" i="79" s="1"/>
  <c r="T14" i="79"/>
  <c r="R13" i="79"/>
  <c r="V13" i="79" s="1"/>
  <c r="X12" i="79"/>
  <c r="X11" i="79"/>
  <c r="U10" i="79"/>
  <c r="P10" i="79"/>
  <c r="X6" i="79"/>
  <c r="Q6" i="79"/>
  <c r="X5" i="79"/>
  <c r="Q5" i="79"/>
  <c r="X4" i="79"/>
  <c r="P4" i="79"/>
  <c r="U29" i="79"/>
  <c r="F26" i="79"/>
  <c r="G7" i="79"/>
  <c r="K7" i="79" s="1"/>
  <c r="F6" i="79"/>
  <c r="F32" i="79"/>
  <c r="E31" i="79"/>
  <c r="F28" i="79"/>
  <c r="E27" i="79"/>
  <c r="F24" i="79"/>
  <c r="E23" i="79"/>
  <c r="F20" i="79"/>
  <c r="E19" i="79"/>
  <c r="F16" i="79"/>
  <c r="E15" i="79"/>
  <c r="F12" i="79"/>
  <c r="E11" i="79"/>
  <c r="F8" i="79"/>
  <c r="E7" i="79"/>
  <c r="F4" i="79"/>
  <c r="D10" i="79"/>
  <c r="D6" i="79"/>
  <c r="D32" i="79"/>
  <c r="D28" i="79"/>
  <c r="D24" i="79"/>
  <c r="D20" i="79"/>
  <c r="D16" i="79"/>
  <c r="D12" i="79"/>
  <c r="X29" i="79"/>
  <c r="P29" i="79"/>
  <c r="X27" i="79"/>
  <c r="U26" i="79"/>
  <c r="Q24" i="79"/>
  <c r="R23" i="79"/>
  <c r="V23" i="79" s="1"/>
  <c r="T22" i="79"/>
  <c r="X19" i="79"/>
  <c r="U18" i="79"/>
  <c r="P17" i="79"/>
  <c r="Q16" i="79"/>
  <c r="Q13" i="79"/>
  <c r="R12" i="79"/>
  <c r="V12" i="79" s="1"/>
  <c r="R11" i="79"/>
  <c r="V11" i="79" s="1"/>
  <c r="T10" i="79"/>
  <c r="X7" i="79"/>
  <c r="U6" i="79"/>
  <c r="U5" i="79"/>
  <c r="T29" i="79"/>
  <c r="U28" i="79"/>
  <c r="Q27" i="79"/>
  <c r="T25" i="79"/>
  <c r="U24" i="79"/>
  <c r="Q23" i="79"/>
  <c r="T21" i="79"/>
  <c r="U20" i="79"/>
  <c r="P20" i="79"/>
  <c r="Q19" i="79"/>
  <c r="T17" i="79"/>
  <c r="U16" i="79"/>
  <c r="P16" i="79"/>
  <c r="Q15" i="79"/>
  <c r="T13" i="79"/>
  <c r="U12" i="79"/>
  <c r="P12" i="79"/>
  <c r="Q11" i="79"/>
  <c r="T9" i="79"/>
  <c r="U8" i="79"/>
  <c r="P8" i="79"/>
  <c r="Q7" i="79"/>
  <c r="U27" i="79"/>
  <c r="P27" i="79"/>
  <c r="U23" i="79"/>
  <c r="P23" i="79"/>
  <c r="T20" i="79"/>
  <c r="U19" i="79"/>
  <c r="P19" i="79"/>
  <c r="T16" i="79"/>
  <c r="U15" i="79"/>
  <c r="P15" i="79"/>
  <c r="T12" i="79"/>
  <c r="U11" i="79"/>
  <c r="P11" i="79"/>
  <c r="T8" i="79"/>
  <c r="U7" i="79"/>
  <c r="P7" i="79"/>
  <c r="T4" i="79"/>
  <c r="T27" i="79"/>
  <c r="T23" i="79"/>
  <c r="T19" i="79"/>
  <c r="T15" i="79"/>
  <c r="T11" i="79"/>
  <c r="T7" i="79"/>
  <c r="R3" i="79"/>
  <c r="V3" i="79" s="1"/>
  <c r="J5" i="79"/>
  <c r="J28" i="79"/>
  <c r="J20" i="79"/>
  <c r="J12" i="79"/>
  <c r="J4" i="79"/>
  <c r="J31" i="79"/>
  <c r="J27" i="79"/>
  <c r="J23" i="79"/>
  <c r="J19" i="79"/>
  <c r="J15" i="79"/>
  <c r="J11" i="79"/>
  <c r="J32" i="79"/>
  <c r="J24" i="79"/>
  <c r="J16" i="79"/>
  <c r="J7" i="79"/>
  <c r="J3" i="79"/>
  <c r="J30" i="79"/>
  <c r="J26" i="79"/>
  <c r="J22" i="79"/>
  <c r="J18" i="79"/>
  <c r="J14" i="79"/>
  <c r="J10" i="79"/>
  <c r="J6" i="79"/>
  <c r="J33" i="79"/>
  <c r="J29" i="79"/>
  <c r="J25" i="79"/>
  <c r="J21" i="79"/>
  <c r="J17" i="79"/>
  <c r="J13" i="79"/>
  <c r="J9" i="79"/>
  <c r="M3" i="79"/>
  <c r="M18" i="79"/>
  <c r="M14" i="79"/>
  <c r="M30" i="79"/>
  <c r="M26" i="79"/>
  <c r="M10" i="79"/>
  <c r="M6" i="79"/>
  <c r="M22" i="79"/>
  <c r="M33" i="79"/>
  <c r="M29" i="79"/>
  <c r="M25" i="79"/>
  <c r="M21" i="79"/>
  <c r="M17" i="79"/>
  <c r="M13" i="79"/>
  <c r="M9" i="79"/>
  <c r="M5" i="79"/>
  <c r="M32" i="79"/>
  <c r="M28" i="79"/>
  <c r="M24" i="79"/>
  <c r="M20" i="79"/>
  <c r="M16" i="79"/>
  <c r="M12" i="79"/>
  <c r="M8" i="79"/>
  <c r="M4" i="79"/>
  <c r="M31" i="79"/>
  <c r="M27" i="79"/>
  <c r="M23" i="79"/>
  <c r="M19" i="79"/>
  <c r="M15" i="79"/>
  <c r="M11" i="79"/>
  <c r="M7" i="79"/>
  <c r="J8" i="79"/>
</calcChain>
</file>

<file path=xl/sharedStrings.xml><?xml version="1.0" encoding="utf-8"?>
<sst xmlns="http://schemas.openxmlformats.org/spreadsheetml/2006/main" count="572" uniqueCount="82">
  <si>
    <t>Januar</t>
  </si>
  <si>
    <t>Februar</t>
  </si>
  <si>
    <t>März</t>
  </si>
  <si>
    <t>April</t>
  </si>
  <si>
    <t>Mai</t>
  </si>
  <si>
    <t>Juni</t>
  </si>
  <si>
    <t>Juli</t>
  </si>
  <si>
    <t>August</t>
  </si>
  <si>
    <t>September</t>
  </si>
  <si>
    <t>Oktober</t>
  </si>
  <si>
    <t>November</t>
  </si>
  <si>
    <t>Dezember</t>
  </si>
  <si>
    <t>Neujahr</t>
  </si>
  <si>
    <t>Tag der Arbeit</t>
  </si>
  <si>
    <t>Legende:</t>
  </si>
  <si>
    <t>Zusätzliche Vereinbarungen:</t>
  </si>
  <si>
    <t>Wochenende</t>
  </si>
  <si>
    <t>Feiertag</t>
  </si>
  <si>
    <t>...</t>
  </si>
  <si>
    <t>Kind:</t>
  </si>
  <si>
    <t>Kalenderjahr:</t>
  </si>
  <si>
    <t>WE</t>
  </si>
  <si>
    <t>FER</t>
  </si>
  <si>
    <t>FT</t>
  </si>
  <si>
    <t>Weihnachtsferien</t>
  </si>
  <si>
    <t>TER</t>
  </si>
  <si>
    <t>Beweglicher Ferientag</t>
  </si>
  <si>
    <t>Vorgearbeiteter Schultag</t>
  </si>
  <si>
    <t>Karfreitag</t>
  </si>
  <si>
    <t>Ostermontag</t>
  </si>
  <si>
    <t>Osterferien</t>
  </si>
  <si>
    <t>Christi Himmelfahrt</t>
  </si>
  <si>
    <t>Pfingstmontag</t>
  </si>
  <si>
    <t>Fronleichnam</t>
  </si>
  <si>
    <t>Tag der Deutschen Einheit</t>
  </si>
  <si>
    <t>Allerheiligen</t>
  </si>
  <si>
    <t>1. Weihnachtsfeiertag</t>
  </si>
  <si>
    <t>2. Weihnachtsfeiertag</t>
  </si>
  <si>
    <t>Sommerferien</t>
  </si>
  <si>
    <t>Herbstferien</t>
  </si>
  <si>
    <t>Papa</t>
  </si>
  <si>
    <t>Mama</t>
  </si>
  <si>
    <t>Datum</t>
  </si>
  <si>
    <t>Aufenthaltsort</t>
  </si>
  <si>
    <t>Abholzeit</t>
  </si>
  <si>
    <t>Zurückbringzeit</t>
  </si>
  <si>
    <t>Zeitraum Anfang</t>
  </si>
  <si>
    <t>Zeitraum Ende</t>
  </si>
  <si>
    <t>Darstellung</t>
  </si>
  <si>
    <t>Zeilenumbruch:</t>
  </si>
  <si>
    <t>P/M</t>
  </si>
  <si>
    <t>Muttertag</t>
  </si>
  <si>
    <t>Beschreibung</t>
  </si>
  <si>
    <t>Vereinbarungen</t>
  </si>
  <si>
    <t xml:space="preserve">
</t>
  </si>
  <si>
    <t>Hauptaufenthaltsort:</t>
  </si>
  <si>
    <t>Nebenaufenthaltsort:</t>
  </si>
  <si>
    <t>Vatertag</t>
  </si>
  <si>
    <t>ü</t>
  </si>
  <si>
    <t>Sonstiger Termin</t>
  </si>
  <si>
    <t>Beschreibung:</t>
  </si>
  <si>
    <t>Bearbeitungen:</t>
  </si>
  <si>
    <t>Version</t>
  </si>
  <si>
    <t>Autor</t>
  </si>
  <si>
    <t>Änderung</t>
  </si>
  <si>
    <t>Vorlage:</t>
  </si>
  <si>
    <t>Ablageort:</t>
  </si>
  <si>
    <t>Ferienregelung.xlsm</t>
  </si>
  <si>
    <t>Anleitung</t>
  </si>
  <si>
    <t>Schulfrei (Ferien, beweglicher Ferientag, vorgearbeiteter Schultag)</t>
  </si>
  <si>
    <t>Lizenz:</t>
  </si>
  <si>
    <t>Autor: Ingenieurbüro Dennis Jung Dipl.-Ing. (FH), Koblenz (https://www.stressfrei-arbeiten.com)
Diese Dokument unterliegt der Lizenz GNU GENERAL PUBLIC LICENSE Version 3, 29 June 2007. Weitere Informationen entnehmen Sie bitte der folgenden Seite: https://www.gnu.org/licenses/gpl-3.0.de.html</t>
  </si>
  <si>
    <t>Lukas</t>
  </si>
  <si>
    <t>Geburtstag Lukas</t>
  </si>
  <si>
    <t>Geburtstag Papa</t>
  </si>
  <si>
    <t>Geburtstag Mama</t>
  </si>
  <si>
    <t>1) Lukas ruft bei Bedarf Papa oder Mama an</t>
  </si>
  <si>
    <t>2) Papa und Mama können per What's App und SMS jederzeit mit Lukas in Kontakt treten</t>
  </si>
  <si>
    <t>Diese Vorlage ermöglicht die Aufstellung einer Ferienregelung für ein Kind von getrennt lebenden Eltern.</t>
  </si>
  <si>
    <t>Vorlage für Ferienregelungen</t>
  </si>
  <si>
    <t>Autor: Ingenieurbüro Dennis Jung Dipl.-Ing. (FH), Koblenz (https://www.it-jung.com)
Diese Dokument unterliegt der Lizenz GNU GENERAL PUBLIC LICENSE Version 3, 29 June 2007. Weitere Informationen entnehmen Sie bitte der folgenden Seite: https://www.gnu.org/licenses/gpl-3.0.de.html</t>
  </si>
  <si>
    <r>
      <rPr>
        <u/>
        <sz val="10"/>
        <rFont val="Arial"/>
        <family val="2"/>
      </rPr>
      <t>Einmalige Aktionen zum Aufsetzen des Dokuments:</t>
    </r>
    <r>
      <rPr>
        <sz val="10"/>
        <rFont val="Arial"/>
        <family val="2"/>
      </rPr>
      <t xml:space="preserve">
-&gt; Erzeugen Sie ein neues Dokument mit dieser Vorlage und speichern Sie dieses im Format .xlsm ab. Es ist wichtig, dass Sie ein Format wählen, das Makros einschließt, damit die Exportfunktionen dieses Dokuments erhalten bleiben und weiterhin verwendet werden können.
-&gt; Passen Sie die Parameter auf der Seite "Konfiguration" gemäß Ihren Bedürfnissen an
</t>
    </r>
    <r>
      <rPr>
        <u/>
        <sz val="10"/>
        <rFont val="Arial"/>
        <family val="2"/>
      </rPr>
      <t>Jährliche Aktionen zur Anpassung der Ferienregelung:</t>
    </r>
    <r>
      <rPr>
        <sz val="10"/>
        <rFont val="Arial"/>
        <family val="2"/>
      </rPr>
      <t xml:space="preserve">
-&gt; Das Kalenderjahr auf der Seite "Konfiguration" anpassen
-&gt; Ferien, bewegliche Ferientage und sonstige schulfreie Tage auf der Seite "Ferien" eintragen
-&gt; Feiertage auf der Seite "Feiertage" eintragen
-&gt; Sonstige wichtige Termine (Bsp. Geburtstage, Schulausflüge) auf der Seite "Termine" eintragen
-&gt; Sondervereinbarungen auf der Seite "Vereinbarungen" eintragen
-&gt; Für jeden Jahrestag festlegen, ob sich das Kind beim Vater oder der Mutter aufhält. Für jeden Tag kann eine individuelle Abhol- u. Zurückbringzeit angegeben werden.
</t>
    </r>
    <r>
      <rPr>
        <u/>
        <sz val="10"/>
        <rFont val="Arial"/>
        <family val="2"/>
      </rPr>
      <t>Export der Ferienregelung:</t>
    </r>
    <r>
      <rPr>
        <sz val="10"/>
        <rFont val="Arial"/>
        <family val="2"/>
      </rPr>
      <t xml:space="preserve">
Auf der Seite "Ferienregelung" befinden sich im Kopf drei Buttons mit denen Sie die Ferien, Feiertage und Aufenthaltstermine als Datei im .ics Format exportieren können. Diese können Sie anschließend mit ihrem Kalenderprogramm importieren. Dazu müssen Sie nach Betätigung der Schaltfläche zunächst einen Speicherort und Dateinamen auswählen. Die Dateiendung können sie beliebig wählen - sie wird vom Programm bei der Speicherung automatisch in .ics korrigiert.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</si>
</sst>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
    <numFmt numFmtId="165" formatCode="dd/mm/yyyy"/>
    <numFmt numFmtId="166" formatCode="ddd"/>
    <numFmt numFmtId="167" formatCode="dd/mm"/>
    <numFmt numFmtId="168" formatCode="[$-F400]h:mm:ss\ AM/PM"/>
  </numFmts>
  <fonts count="20">
    <font>
      <sz val="10"/>
      <name val="Arial"/>
    </font>
    <font>
      <u/>
      <sz val="10"/>
      <color indexed="12"/>
      <name val="Arial"/>
      <family val="2"/>
    </font>
    <font>
      <b/>
      <sz val="36"/>
      <name val="Arial"/>
      <family val="2"/>
    </font>
    <font>
      <sz val="10"/>
      <name val="Arial"/>
      <family val="2"/>
    </font>
    <font>
      <sz val="7"/>
      <name val="Arial"/>
      <family val="2"/>
    </font>
    <font>
      <sz val="8"/>
      <name val="Arial"/>
      <family val="2"/>
    </font>
    <font>
      <sz val="11"/>
      <name val="Arial"/>
      <family val="2"/>
    </font>
    <font>
      <b/>
      <sz val="11"/>
      <name val="Arial"/>
      <family val="2"/>
    </font>
    <font>
      <b/>
      <sz val="42"/>
      <name val="Arial"/>
      <family val="2"/>
    </font>
    <font>
      <b/>
      <u/>
      <sz val="10"/>
      <name val="Arial"/>
      <family val="2"/>
    </font>
    <font>
      <b/>
      <sz val="10"/>
      <name val="Arial"/>
      <family val="2"/>
    </font>
    <font>
      <sz val="11"/>
      <name val="Wingdings"/>
      <charset val="2"/>
    </font>
    <font>
      <sz val="9"/>
      <name val="Arial"/>
      <family val="2"/>
    </font>
    <font>
      <sz val="10"/>
      <color theme="0"/>
      <name val="Arial"/>
      <family val="2"/>
    </font>
    <font>
      <sz val="14"/>
      <color theme="0"/>
      <name val="Arial"/>
      <family val="2"/>
    </font>
    <font>
      <b/>
      <sz val="14"/>
      <color theme="0"/>
      <name val="Arial"/>
      <family val="2"/>
    </font>
    <font>
      <sz val="10"/>
      <name val="Wingdings"/>
      <charset val="2"/>
    </font>
    <font>
      <u/>
      <sz val="10"/>
      <name val="Arial"/>
      <family val="2"/>
    </font>
    <font>
      <sz val="12"/>
      <name val="Arial"/>
      <family val="2"/>
    </font>
    <font>
      <sz val="10"/>
      <color rgb="FF000000"/>
      <name val="Arial"/>
      <family val="2"/>
    </font>
  </fonts>
  <fills count="10">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theme="5" tint="0.39997558519241921"/>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00"/>
        <bgColor indexed="64"/>
      </patternFill>
    </fill>
  </fills>
  <borders count="1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style="thin">
        <color auto="1"/>
      </left>
      <right/>
      <top/>
      <bottom style="thin">
        <color auto="1"/>
      </bottom>
      <diagonal/>
    </border>
    <border>
      <left style="thin">
        <color auto="1"/>
      </left>
      <right style="thin">
        <color auto="1"/>
      </right>
      <top/>
      <bottom/>
      <diagonal/>
    </border>
    <border>
      <left/>
      <right style="thin">
        <color auto="1"/>
      </right>
      <top/>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bottom style="thin">
        <color auto="1"/>
      </bottom>
      <diagonal/>
    </border>
  </borders>
  <cellStyleXfs count="2">
    <xf numFmtId="0" fontId="0" fillId="0" borderId="0"/>
    <xf numFmtId="0" fontId="1" fillId="0" borderId="0" applyNumberFormat="0" applyFill="0" applyBorder="0" applyAlignment="0" applyProtection="0">
      <alignment vertical="top"/>
      <protection locked="0"/>
    </xf>
  </cellStyleXfs>
  <cellXfs count="150">
    <xf numFmtId="0" fontId="0" fillId="0" borderId="0" xfId="0"/>
    <xf numFmtId="0" fontId="3" fillId="0" borderId="0" xfId="0" applyFont="1"/>
    <xf numFmtId="0" fontId="2" fillId="0" borderId="0" xfId="0" applyFont="1" applyBorder="1" applyAlignment="1">
      <alignment horizontal="left" vertical="top"/>
    </xf>
    <xf numFmtId="0" fontId="2" fillId="0" borderId="0" xfId="0" applyNumberFormat="1" applyFont="1" applyBorder="1" applyAlignment="1">
      <alignment horizontal="left" vertical="top"/>
    </xf>
    <xf numFmtId="0" fontId="3" fillId="0" borderId="0" xfId="1" applyFont="1" applyFill="1" applyBorder="1" applyAlignment="1" applyProtection="1">
      <alignment vertical="top"/>
    </xf>
    <xf numFmtId="0" fontId="3" fillId="0" borderId="0" xfId="1" applyFont="1" applyBorder="1" applyAlignment="1" applyProtection="1"/>
    <xf numFmtId="0" fontId="4" fillId="0" borderId="0" xfId="0" applyNumberFormat="1" applyFont="1" applyAlignment="1">
      <alignment horizontal="right" vertical="top"/>
    </xf>
    <xf numFmtId="0" fontId="5" fillId="0" borderId="2" xfId="0" applyFont="1" applyFill="1" applyBorder="1" applyAlignment="1">
      <alignment horizontal="right" vertical="center" wrapText="1"/>
    </xf>
    <xf numFmtId="0" fontId="6" fillId="0" borderId="3"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3" xfId="0" applyFont="1" applyFill="1" applyBorder="1" applyAlignment="1">
      <alignment horizontal="center" vertical="center"/>
    </xf>
    <xf numFmtId="0" fontId="8" fillId="0" borderId="0" xfId="0" applyFont="1" applyBorder="1" applyAlignment="1">
      <alignment horizontal="left" vertical="top"/>
    </xf>
    <xf numFmtId="0" fontId="3" fillId="0" borderId="4" xfId="1" applyFont="1" applyFill="1" applyBorder="1" applyAlignment="1" applyProtection="1">
      <alignment horizontal="left" vertical="top"/>
    </xf>
    <xf numFmtId="0" fontId="7" fillId="0" borderId="3" xfId="0" applyNumberFormat="1" applyFont="1" applyFill="1" applyBorder="1" applyAlignment="1">
      <alignment horizontal="center" vertical="center"/>
    </xf>
    <xf numFmtId="0" fontId="7" fillId="0" borderId="1" xfId="0" applyFont="1" applyFill="1" applyBorder="1" applyAlignment="1">
      <alignment vertical="center"/>
    </xf>
    <xf numFmtId="0" fontId="7" fillId="0" borderId="3" xfId="0" applyFont="1" applyFill="1" applyBorder="1" applyAlignment="1">
      <alignment horizontal="center" vertical="center"/>
    </xf>
    <xf numFmtId="0" fontId="6" fillId="0" borderId="3" xfId="0" applyNumberFormat="1" applyFont="1" applyFill="1" applyBorder="1" applyAlignment="1">
      <alignment horizontal="left" vertical="center"/>
    </xf>
    <xf numFmtId="0" fontId="6" fillId="0" borderId="1" xfId="0" applyNumberFormat="1" applyFont="1" applyFill="1" applyBorder="1" applyAlignment="1">
      <alignment horizontal="left" vertical="center"/>
    </xf>
    <xf numFmtId="0" fontId="3" fillId="0" borderId="1" xfId="0" applyNumberFormat="1" applyFont="1" applyFill="1" applyBorder="1" applyAlignment="1">
      <alignment horizontal="left" vertical="center"/>
    </xf>
    <xf numFmtId="0" fontId="3" fillId="0" borderId="2" xfId="0" applyNumberFormat="1" applyFont="1" applyFill="1" applyBorder="1" applyAlignment="1">
      <alignment horizontal="left" vertical="center"/>
    </xf>
    <xf numFmtId="0" fontId="9" fillId="0" borderId="0" xfId="0" applyFont="1"/>
    <xf numFmtId="0" fontId="10" fillId="0" borderId="0" xfId="0" applyFont="1"/>
    <xf numFmtId="0" fontId="4" fillId="0" borderId="1" xfId="0" applyFont="1" applyFill="1" applyBorder="1" applyAlignment="1">
      <alignment horizontal="left" vertical="center" wrapText="1"/>
    </xf>
    <xf numFmtId="164" fontId="7" fillId="0" borderId="3" xfId="0" applyNumberFormat="1" applyFont="1" applyFill="1" applyBorder="1" applyAlignment="1">
      <alignment horizontal="center" vertical="center"/>
    </xf>
    <xf numFmtId="166" fontId="11" fillId="0" borderId="1" xfId="0" applyNumberFormat="1" applyFont="1" applyFill="1" applyBorder="1" applyAlignment="1">
      <alignment horizontal="left" vertical="center"/>
    </xf>
    <xf numFmtId="164" fontId="6" fillId="0" borderId="5" xfId="0" applyNumberFormat="1" applyFont="1" applyFill="1" applyBorder="1" applyAlignment="1">
      <alignment horizontal="center" vertical="center"/>
    </xf>
    <xf numFmtId="166" fontId="6" fillId="0" borderId="5" xfId="0" applyNumberFormat="1" applyFont="1" applyFill="1" applyBorder="1" applyAlignment="1">
      <alignment horizontal="left" vertical="center"/>
    </xf>
    <xf numFmtId="165" fontId="6" fillId="0" borderId="3" xfId="0" applyNumberFormat="1" applyFont="1" applyFill="1" applyBorder="1" applyAlignment="1">
      <alignment horizontal="center" vertical="center"/>
    </xf>
    <xf numFmtId="1" fontId="6" fillId="0" borderId="3" xfId="0" applyNumberFormat="1" applyFont="1" applyFill="1" applyBorder="1" applyAlignment="1">
      <alignment horizontal="center" vertical="center"/>
    </xf>
    <xf numFmtId="1" fontId="6" fillId="0" borderId="6" xfId="0" applyNumberFormat="1" applyFont="1" applyFill="1" applyBorder="1" applyAlignment="1">
      <alignment horizontal="center" vertical="center"/>
    </xf>
    <xf numFmtId="164" fontId="6" fillId="0" borderId="7" xfId="0" applyNumberFormat="1" applyFont="1" applyFill="1" applyBorder="1" applyAlignment="1">
      <alignment horizontal="center" vertical="center"/>
    </xf>
    <xf numFmtId="166" fontId="6" fillId="0" borderId="7" xfId="0" applyNumberFormat="1" applyFont="1" applyFill="1" applyBorder="1" applyAlignment="1">
      <alignment horizontal="left" vertical="center"/>
    </xf>
    <xf numFmtId="0" fontId="5" fillId="0" borderId="8" xfId="0" applyFont="1" applyFill="1" applyBorder="1" applyAlignment="1">
      <alignment horizontal="right" vertical="center" wrapText="1"/>
    </xf>
    <xf numFmtId="0" fontId="3" fillId="0" borderId="0" xfId="1" applyFont="1" applyFill="1" applyBorder="1" applyAlignment="1" applyProtection="1">
      <alignment horizontal="left" vertical="top"/>
    </xf>
    <xf numFmtId="0" fontId="3" fillId="0" borderId="4" xfId="0" applyNumberFormat="1" applyFont="1" applyFill="1" applyBorder="1" applyAlignment="1">
      <alignment horizontal="left" vertical="center"/>
    </xf>
    <xf numFmtId="0" fontId="3" fillId="0" borderId="8" xfId="0" applyNumberFormat="1" applyFont="1" applyFill="1" applyBorder="1" applyAlignment="1">
      <alignment horizontal="left" vertical="center"/>
    </xf>
    <xf numFmtId="0" fontId="0" fillId="0" borderId="0" xfId="0" applyBorder="1"/>
    <xf numFmtId="167" fontId="12" fillId="0" borderId="0" xfId="0" applyNumberFormat="1" applyFont="1" applyFill="1" applyBorder="1"/>
    <xf numFmtId="0" fontId="0" fillId="2" borderId="5" xfId="0" applyFill="1" applyBorder="1"/>
    <xf numFmtId="0" fontId="0" fillId="3" borderId="5" xfId="0" applyFill="1" applyBorder="1"/>
    <xf numFmtId="0" fontId="0" fillId="6" borderId="5" xfId="0" applyFill="1" applyBorder="1"/>
    <xf numFmtId="0" fontId="0" fillId="4" borderId="5" xfId="0" applyFill="1" applyBorder="1"/>
    <xf numFmtId="0" fontId="0" fillId="5" borderId="5" xfId="0" applyFill="1" applyBorder="1"/>
    <xf numFmtId="164" fontId="7" fillId="0" borderId="5" xfId="0" applyNumberFormat="1" applyFont="1" applyFill="1" applyBorder="1" applyAlignment="1">
      <alignment horizontal="center" vertical="center"/>
    </xf>
    <xf numFmtId="1" fontId="6" fillId="0" borderId="5" xfId="0" applyNumberFormat="1" applyFont="1" applyFill="1" applyBorder="1" applyAlignment="1">
      <alignment horizontal="center" vertical="center"/>
    </xf>
    <xf numFmtId="165" fontId="7" fillId="0" borderId="2" xfId="0" applyNumberFormat="1" applyFont="1" applyFill="1" applyBorder="1" applyAlignment="1">
      <alignment horizontal="center" vertical="center"/>
    </xf>
    <xf numFmtId="165" fontId="6" fillId="0" borderId="1" xfId="0" applyNumberFormat="1" applyFont="1" applyFill="1" applyBorder="1" applyAlignment="1">
      <alignment horizontal="center" vertical="center"/>
    </xf>
    <xf numFmtId="0" fontId="7" fillId="0" borderId="1" xfId="0" applyFont="1" applyFill="1" applyBorder="1" applyAlignment="1">
      <alignment horizontal="center" vertical="center"/>
    </xf>
    <xf numFmtId="0" fontId="6" fillId="0" borderId="1" xfId="0" applyFont="1" applyFill="1" applyBorder="1" applyAlignment="1">
      <alignment horizontal="center" vertical="center"/>
    </xf>
    <xf numFmtId="0" fontId="7" fillId="0" borderId="1" xfId="0" applyNumberFormat="1" applyFont="1" applyFill="1" applyBorder="1" applyAlignment="1">
      <alignment horizontal="center" vertical="center"/>
    </xf>
    <xf numFmtId="167" fontId="12" fillId="0" borderId="0" xfId="0" applyNumberFormat="1" applyFont="1" applyFill="1" applyBorder="1" applyAlignment="1"/>
    <xf numFmtId="0" fontId="6" fillId="0" borderId="10" xfId="0" applyNumberFormat="1" applyFont="1" applyFill="1" applyBorder="1" applyAlignment="1">
      <alignment horizontal="center" vertical="center"/>
    </xf>
    <xf numFmtId="0" fontId="3" fillId="0" borderId="3" xfId="0" applyFont="1" applyBorder="1"/>
    <xf numFmtId="0" fontId="3" fillId="0" borderId="0" xfId="0" applyFont="1" applyAlignment="1">
      <alignment horizontal="center"/>
    </xf>
    <xf numFmtId="0" fontId="4" fillId="0" borderId="1" xfId="0" applyFont="1" applyFill="1" applyBorder="1" applyAlignment="1">
      <alignment horizontal="left" vertical="top" wrapText="1"/>
    </xf>
    <xf numFmtId="1" fontId="6" fillId="0" borderId="0" xfId="0" applyNumberFormat="1" applyFont="1" applyFill="1" applyBorder="1" applyAlignment="1">
      <alignment horizontal="center" vertical="center"/>
    </xf>
    <xf numFmtId="0" fontId="0" fillId="0" borderId="0" xfId="0" applyAlignment="1">
      <alignment horizontal="center"/>
    </xf>
    <xf numFmtId="0" fontId="3" fillId="8" borderId="0" xfId="0" applyFont="1" applyFill="1" applyAlignment="1">
      <alignment wrapText="1"/>
    </xf>
    <xf numFmtId="165" fontId="13" fillId="7" borderId="5" xfId="0" applyNumberFormat="1" applyFont="1" applyFill="1" applyBorder="1" applyAlignment="1">
      <alignment horizontal="left" vertical="center"/>
    </xf>
    <xf numFmtId="0" fontId="16" fillId="9" borderId="5" xfId="0" applyFont="1" applyFill="1" applyBorder="1"/>
    <xf numFmtId="0" fontId="3" fillId="0" borderId="5" xfId="0" applyFont="1" applyBorder="1" applyAlignment="1">
      <alignment horizontal="center"/>
    </xf>
    <xf numFmtId="0" fontId="3" fillId="0" borderId="5" xfId="0" applyFont="1" applyBorder="1" applyAlignment="1">
      <alignment vertical="center" wrapText="1"/>
    </xf>
    <xf numFmtId="0" fontId="0" fillId="0" borderId="0" xfId="0" applyBorder="1" applyAlignment="1">
      <alignment horizontal="center"/>
    </xf>
    <xf numFmtId="0" fontId="0" fillId="0" borderId="0" xfId="0" applyBorder="1" applyAlignment="1">
      <alignment horizontal="center" vertical="center"/>
    </xf>
    <xf numFmtId="167" fontId="4" fillId="0" borderId="0" xfId="0" applyNumberFormat="1" applyFont="1" applyFill="1" applyBorder="1" applyAlignment="1"/>
    <xf numFmtId="0" fontId="3" fillId="0" borderId="5" xfId="0" applyFont="1" applyBorder="1" applyProtection="1">
      <protection locked="0"/>
    </xf>
    <xf numFmtId="0" fontId="0" fillId="0" borderId="5" xfId="0" applyBorder="1" applyProtection="1">
      <protection locked="0"/>
    </xf>
    <xf numFmtId="165" fontId="0" fillId="0" borderId="0" xfId="0" applyNumberFormat="1" applyAlignment="1" applyProtection="1">
      <alignment horizontal="center"/>
      <protection locked="0"/>
    </xf>
    <xf numFmtId="0" fontId="3" fillId="0" borderId="0" xfId="0" applyFont="1" applyProtection="1">
      <protection locked="0"/>
    </xf>
    <xf numFmtId="0" fontId="0" fillId="0" borderId="0" xfId="0" applyProtection="1">
      <protection locked="0"/>
    </xf>
    <xf numFmtId="165" fontId="13" fillId="7" borderId="5" xfId="0" applyNumberFormat="1" applyFont="1" applyFill="1" applyBorder="1" applyAlignment="1" applyProtection="1">
      <alignment horizontal="center"/>
    </xf>
    <xf numFmtId="0" fontId="3" fillId="0" borderId="0" xfId="0" applyFont="1" applyAlignment="1" applyProtection="1">
      <alignment horizontal="left"/>
      <protection locked="0"/>
    </xf>
    <xf numFmtId="0" fontId="0" fillId="0" borderId="0" xfId="0" applyAlignment="1" applyProtection="1">
      <alignment horizontal="center"/>
      <protection locked="0"/>
    </xf>
    <xf numFmtId="20" fontId="13" fillId="7" borderId="11" xfId="0" applyNumberFormat="1" applyFont="1" applyFill="1" applyBorder="1" applyAlignment="1" applyProtection="1">
      <alignment horizontal="center"/>
    </xf>
    <xf numFmtId="0" fontId="13" fillId="7" borderId="11" xfId="0" applyFont="1" applyFill="1" applyBorder="1" applyAlignment="1" applyProtection="1">
      <alignment horizontal="center" wrapText="1"/>
    </xf>
    <xf numFmtId="20" fontId="0" fillId="2" borderId="5" xfId="0" applyNumberFormat="1" applyFill="1" applyBorder="1" applyAlignment="1" applyProtection="1">
      <alignment horizontal="center"/>
    </xf>
    <xf numFmtId="168" fontId="0" fillId="2" borderId="5" xfId="0" applyNumberFormat="1" applyFill="1" applyBorder="1" applyAlignment="1" applyProtection="1">
      <alignment horizontal="center" wrapText="1"/>
    </xf>
    <xf numFmtId="20" fontId="0" fillId="0" borderId="0" xfId="0" applyNumberFormat="1" applyAlignment="1" applyProtection="1">
      <alignment horizontal="center"/>
    </xf>
    <xf numFmtId="0" fontId="0" fillId="0" borderId="0" xfId="0" applyAlignment="1" applyProtection="1">
      <alignment horizontal="center" wrapText="1"/>
    </xf>
    <xf numFmtId="165" fontId="0" fillId="0" borderId="0" xfId="0" applyNumberFormat="1" applyAlignment="1" applyProtection="1">
      <alignment horizontal="center"/>
    </xf>
    <xf numFmtId="0" fontId="0" fillId="0" borderId="0" xfId="0" applyAlignment="1" applyProtection="1">
      <alignment horizontal="center"/>
    </xf>
    <xf numFmtId="20" fontId="13" fillId="7" borderId="12" xfId="0" applyNumberFormat="1" applyFont="1" applyFill="1" applyBorder="1" applyAlignment="1" applyProtection="1">
      <alignment horizontal="center"/>
    </xf>
    <xf numFmtId="20" fontId="0" fillId="2" borderId="2" xfId="0" applyNumberFormat="1" applyFill="1" applyBorder="1" applyAlignment="1" applyProtection="1">
      <alignment horizontal="center"/>
    </xf>
    <xf numFmtId="165" fontId="13" fillId="7" borderId="5" xfId="0" applyNumberFormat="1" applyFont="1" applyFill="1" applyBorder="1" applyAlignment="1" applyProtection="1">
      <alignment horizontal="center" vertical="center"/>
    </xf>
    <xf numFmtId="0" fontId="13" fillId="7" borderId="5" xfId="0" applyFont="1" applyFill="1" applyBorder="1" applyAlignment="1" applyProtection="1">
      <alignment horizontal="center" vertical="center"/>
    </xf>
    <xf numFmtId="20" fontId="13" fillId="7" borderId="5" xfId="0" applyNumberFormat="1" applyFont="1" applyFill="1" applyBorder="1" applyAlignment="1" applyProtection="1">
      <alignment horizontal="center" vertical="center"/>
    </xf>
    <xf numFmtId="165" fontId="0" fillId="8" borderId="5" xfId="0" applyNumberFormat="1" applyFill="1" applyBorder="1" applyAlignment="1" applyProtection="1">
      <alignment horizontal="center" vertical="center"/>
    </xf>
    <xf numFmtId="0" fontId="3" fillId="0" borderId="5" xfId="0" applyFont="1" applyBorder="1" applyAlignment="1" applyProtection="1">
      <alignment horizontal="center" vertical="center"/>
      <protection locked="0"/>
    </xf>
    <xf numFmtId="20" fontId="0" fillId="0" borderId="5" xfId="0" applyNumberFormat="1" applyBorder="1" applyAlignment="1" applyProtection="1">
      <alignment horizontal="center" vertical="center"/>
      <protection locked="0"/>
    </xf>
    <xf numFmtId="165" fontId="3" fillId="0" borderId="0" xfId="0" applyNumberFormat="1" applyFont="1" applyAlignment="1" applyProtection="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0" fontId="12" fillId="0" borderId="0" xfId="0" applyFont="1"/>
    <xf numFmtId="0" fontId="3" fillId="0" borderId="5" xfId="0" applyFont="1" applyBorder="1" applyAlignment="1">
      <alignment horizontal="center"/>
    </xf>
    <xf numFmtId="0" fontId="0" fillId="0" borderId="5" xfId="0" applyBorder="1" applyAlignment="1">
      <alignment horizontal="center"/>
    </xf>
    <xf numFmtId="0" fontId="18" fillId="0" borderId="6" xfId="0" applyFont="1" applyBorder="1" applyAlignment="1">
      <alignment horizontal="center" vertical="center" wrapText="1"/>
    </xf>
    <xf numFmtId="0" fontId="18" fillId="0" borderId="4"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0" xfId="0" applyFont="1" applyBorder="1" applyAlignment="1">
      <alignment horizontal="center" vertical="center"/>
    </xf>
    <xf numFmtId="0" fontId="18" fillId="0" borderId="12" xfId="0" applyFont="1" applyBorder="1" applyAlignment="1">
      <alignment horizontal="center" vertical="center"/>
    </xf>
    <xf numFmtId="0" fontId="18" fillId="0" borderId="10" xfId="0" applyFont="1" applyBorder="1" applyAlignment="1">
      <alignment horizontal="center" vertical="center"/>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3" fillId="0" borderId="5" xfId="0" applyFont="1" applyBorder="1" applyAlignment="1">
      <alignment horizontal="left" vertical="top" wrapText="1"/>
    </xf>
    <xf numFmtId="0" fontId="3" fillId="0" borderId="6" xfId="0" applyFont="1" applyBorder="1" applyAlignment="1">
      <alignment horizontal="left" vertical="top"/>
    </xf>
    <xf numFmtId="0" fontId="3" fillId="0" borderId="4" xfId="0" applyFont="1" applyBorder="1" applyAlignment="1">
      <alignment horizontal="left" vertical="top"/>
    </xf>
    <xf numFmtId="0" fontId="3" fillId="0" borderId="8" xfId="0" applyFont="1" applyBorder="1" applyAlignment="1">
      <alignment horizontal="left" vertical="top"/>
    </xf>
    <xf numFmtId="0" fontId="3" fillId="0" borderId="9" xfId="0" applyFont="1" applyBorder="1" applyAlignment="1">
      <alignment horizontal="left" vertical="top"/>
    </xf>
    <xf numFmtId="0" fontId="3" fillId="0" borderId="0" xfId="0" applyFont="1" applyBorder="1" applyAlignment="1">
      <alignment horizontal="left" vertical="top"/>
    </xf>
    <xf numFmtId="0" fontId="3" fillId="0" borderId="12" xfId="0" applyFont="1" applyBorder="1" applyAlignment="1">
      <alignment horizontal="left" vertical="top"/>
    </xf>
    <xf numFmtId="0" fontId="3" fillId="0" borderId="10" xfId="0" applyFont="1" applyBorder="1" applyAlignment="1">
      <alignment horizontal="left" vertical="top"/>
    </xf>
    <xf numFmtId="0" fontId="3" fillId="0" borderId="13" xfId="0" applyFont="1" applyBorder="1" applyAlignment="1">
      <alignment horizontal="left" vertical="top"/>
    </xf>
    <xf numFmtId="0" fontId="3" fillId="0" borderId="14" xfId="0" applyFont="1" applyBorder="1" applyAlignment="1">
      <alignment horizontal="left" vertical="top"/>
    </xf>
    <xf numFmtId="0" fontId="3" fillId="0" borderId="5" xfId="0" applyFont="1" applyBorder="1" applyAlignment="1">
      <alignment horizontal="left" vertical="center"/>
    </xf>
    <xf numFmtId="167" fontId="4" fillId="0" borderId="0" xfId="0" applyNumberFormat="1" applyFont="1" applyFill="1" applyBorder="1" applyAlignment="1">
      <alignment horizontal="center" wrapText="1"/>
    </xf>
    <xf numFmtId="167" fontId="12" fillId="0" borderId="9" xfId="0" applyNumberFormat="1" applyFont="1" applyFill="1" applyBorder="1" applyAlignment="1">
      <alignment horizontal="center"/>
    </xf>
    <xf numFmtId="167" fontId="12" fillId="0" borderId="0" xfId="0" applyNumberFormat="1" applyFont="1" applyFill="1" applyBorder="1" applyAlignment="1">
      <alignment horizontal="center"/>
    </xf>
    <xf numFmtId="167" fontId="12" fillId="0" borderId="0" xfId="0" applyNumberFormat="1" applyFont="1" applyFill="1" applyBorder="1" applyAlignment="1">
      <alignment horizontal="left"/>
    </xf>
    <xf numFmtId="0" fontId="12" fillId="0" borderId="9" xfId="0" applyFont="1" applyBorder="1" applyAlignment="1">
      <alignment horizontal="left"/>
    </xf>
    <xf numFmtId="0" fontId="12" fillId="0" borderId="0" xfId="0" applyFont="1" applyBorder="1" applyAlignment="1">
      <alignment horizontal="left"/>
    </xf>
    <xf numFmtId="0" fontId="15" fillId="7" borderId="5" xfId="0" applyNumberFormat="1" applyFont="1" applyFill="1" applyBorder="1" applyAlignment="1">
      <alignment horizontal="center" vertical="center"/>
    </xf>
    <xf numFmtId="0" fontId="4" fillId="0" borderId="1" xfId="0" applyFont="1" applyFill="1" applyBorder="1" applyAlignment="1">
      <alignment horizontal="left" vertical="center" wrapText="1"/>
    </xf>
    <xf numFmtId="0" fontId="4" fillId="0" borderId="2" xfId="0" applyFont="1" applyFill="1" applyBorder="1" applyAlignment="1">
      <alignment horizontal="left" vertical="center" wrapText="1"/>
    </xf>
    <xf numFmtId="17" fontId="15" fillId="7" borderId="5" xfId="0" applyNumberFormat="1" applyFont="1" applyFill="1" applyBorder="1" applyAlignment="1">
      <alignment horizontal="center" vertical="center"/>
    </xf>
    <xf numFmtId="0" fontId="15" fillId="7" borderId="1" xfId="0" applyNumberFormat="1" applyFont="1" applyFill="1" applyBorder="1" applyAlignment="1">
      <alignment horizontal="center" vertical="center"/>
    </xf>
    <xf numFmtId="0" fontId="15" fillId="7" borderId="2" xfId="0" applyNumberFormat="1" applyFont="1" applyFill="1" applyBorder="1" applyAlignment="1">
      <alignment horizontal="center" vertical="center"/>
    </xf>
    <xf numFmtId="0" fontId="15" fillId="7" borderId="3" xfId="0" applyNumberFormat="1" applyFont="1" applyFill="1" applyBorder="1" applyAlignment="1">
      <alignment horizontal="center" vertical="center"/>
    </xf>
    <xf numFmtId="0" fontId="12" fillId="0" borderId="0" xfId="0" applyFont="1" applyAlignment="1">
      <alignment horizontal="left" vertical="top" wrapText="1"/>
    </xf>
    <xf numFmtId="0" fontId="3" fillId="0" borderId="0" xfId="0" applyFont="1" applyAlignment="1">
      <alignment horizontal="left" vertical="top" wrapText="1"/>
    </xf>
    <xf numFmtId="0" fontId="14" fillId="7" borderId="5" xfId="0" applyFont="1" applyFill="1" applyBorder="1" applyAlignment="1" applyProtection="1">
      <alignment horizontal="center" vertical="center"/>
    </xf>
    <xf numFmtId="0" fontId="14" fillId="7" borderId="0" xfId="0" applyFont="1" applyFill="1" applyBorder="1" applyAlignment="1" applyProtection="1">
      <alignment horizontal="center"/>
    </xf>
    <xf numFmtId="0" fontId="14" fillId="7" borderId="12" xfId="0" applyFont="1" applyFill="1" applyBorder="1" applyAlignment="1" applyProtection="1">
      <alignment horizontal="center"/>
    </xf>
    <xf numFmtId="165" fontId="0" fillId="0" borderId="7" xfId="0" applyNumberFormat="1" applyBorder="1" applyAlignment="1" applyProtection="1">
      <alignment horizontal="center" vertical="center"/>
      <protection locked="0"/>
    </xf>
    <xf numFmtId="165" fontId="0" fillId="0" borderId="15" xfId="0" applyNumberFormat="1" applyBorder="1" applyAlignment="1" applyProtection="1">
      <alignment horizontal="center" vertical="center"/>
      <protection locked="0"/>
    </xf>
    <xf numFmtId="49" fontId="0" fillId="0" borderId="7" xfId="0" applyNumberFormat="1" applyBorder="1" applyAlignment="1" applyProtection="1">
      <alignment horizontal="center" vertical="center"/>
      <protection locked="0"/>
    </xf>
    <xf numFmtId="49" fontId="0" fillId="0" borderId="15" xfId="0" applyNumberFormat="1" applyBorder="1" applyAlignment="1" applyProtection="1">
      <alignment horizontal="center" vertical="center"/>
      <protection locked="0"/>
    </xf>
    <xf numFmtId="49" fontId="3" fillId="0" borderId="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left" vertical="center"/>
      <protection locked="0"/>
    </xf>
    <xf numFmtId="49" fontId="0" fillId="0" borderId="8" xfId="0" applyNumberFormat="1" applyBorder="1" applyAlignment="1" applyProtection="1">
      <alignment horizontal="left" vertical="center"/>
      <protection locked="0"/>
    </xf>
    <xf numFmtId="49" fontId="3" fillId="0" borderId="6" xfId="0" applyNumberFormat="1" applyFont="1" applyBorder="1" applyAlignment="1" applyProtection="1">
      <alignment horizontal="left" vertical="top" wrapText="1"/>
      <protection locked="0"/>
    </xf>
    <xf numFmtId="49" fontId="0" fillId="0" borderId="4" xfId="0" applyNumberFormat="1" applyBorder="1" applyAlignment="1" applyProtection="1">
      <alignment horizontal="left" vertical="top" wrapText="1"/>
      <protection locked="0"/>
    </xf>
    <xf numFmtId="49" fontId="0" fillId="0" borderId="8" xfId="0" applyNumberFormat="1" applyBorder="1" applyAlignment="1" applyProtection="1">
      <alignment horizontal="left" vertical="top" wrapText="1"/>
      <protection locked="0"/>
    </xf>
    <xf numFmtId="49" fontId="0" fillId="0" borderId="10" xfId="0" applyNumberFormat="1" applyBorder="1" applyAlignment="1" applyProtection="1">
      <alignment horizontal="left" vertical="center"/>
      <protection locked="0"/>
    </xf>
    <xf numFmtId="49" fontId="0" fillId="0" borderId="14" xfId="0" applyNumberFormat="1" applyBorder="1" applyAlignment="1" applyProtection="1">
      <alignment horizontal="left" vertical="center"/>
      <protection locked="0"/>
    </xf>
    <xf numFmtId="49" fontId="0" fillId="0" borderId="10" xfId="0" applyNumberFormat="1" applyBorder="1" applyAlignment="1" applyProtection="1">
      <alignment horizontal="left" vertical="top" wrapText="1"/>
      <protection locked="0"/>
    </xf>
    <xf numFmtId="49" fontId="0" fillId="0" borderId="13" xfId="0" applyNumberFormat="1" applyBorder="1" applyAlignment="1" applyProtection="1">
      <alignment horizontal="left" vertical="top" wrapText="1"/>
      <protection locked="0"/>
    </xf>
    <xf numFmtId="49" fontId="0" fillId="0" borderId="14" xfId="0" applyNumberFormat="1" applyBorder="1" applyAlignment="1" applyProtection="1">
      <alignment horizontal="left" vertical="top" wrapText="1"/>
      <protection locked="0"/>
    </xf>
    <xf numFmtId="49" fontId="0" fillId="0" borderId="6" xfId="0" applyNumberFormat="1" applyBorder="1" applyAlignment="1" applyProtection="1">
      <alignment horizontal="left" vertical="center"/>
      <protection locked="0"/>
    </xf>
    <xf numFmtId="49" fontId="0" fillId="0" borderId="6" xfId="0" applyNumberFormat="1" applyBorder="1" applyAlignment="1" applyProtection="1">
      <alignment horizontal="left" vertical="top" wrapText="1"/>
      <protection locked="0"/>
    </xf>
  </cellXfs>
  <cellStyles count="2">
    <cellStyle name="Link" xfId="1" builtinId="8"/>
    <cellStyle name="Standard" xfId="0" builtinId="0"/>
  </cellStyles>
  <dxfs count="136">
    <dxf>
      <fill>
        <patternFill>
          <bgColor theme="5" tint="0.39994506668294322"/>
        </patternFill>
      </fill>
    </dxf>
    <dxf>
      <fill>
        <patternFill>
          <bgColor theme="0" tint="-0.24994659260841701"/>
        </patternFill>
      </fill>
    </dxf>
    <dxf>
      <fill>
        <patternFill>
          <bgColor rgb="FF92D050"/>
        </patternFill>
      </fill>
    </dxf>
    <dxf>
      <fill>
        <patternFill>
          <bgColor theme="5" tint="0.39994506668294322"/>
        </patternFill>
      </fill>
    </dxf>
    <dxf>
      <fill>
        <patternFill>
          <bgColor theme="0" tint="-0.24994659260841701"/>
        </patternFill>
      </fill>
    </dxf>
    <dxf>
      <fill>
        <patternFill>
          <bgColor rgb="FF92D050"/>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theme="5" tint="0.39994506668294322"/>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rgb="FF92D050"/>
        </patternFill>
      </fill>
    </dxf>
    <dxf>
      <fill>
        <patternFill>
          <bgColor theme="5" tint="0.39994506668294322"/>
        </patternFill>
      </fill>
    </dxf>
    <dxf>
      <fill>
        <patternFill>
          <bgColor theme="0" tint="-0.24994659260841701"/>
        </patternFill>
      </fill>
    </dxf>
    <dxf>
      <fill>
        <patternFill>
          <bgColor rgb="FF92D050"/>
        </patternFill>
      </fill>
    </dxf>
    <dxf>
      <fill>
        <patternFill>
          <bgColor theme="5" tint="0.39994506668294322"/>
        </patternFill>
      </fill>
    </dxf>
    <dxf>
      <fill>
        <patternFill>
          <bgColor theme="0" tint="-0.24994659260841701"/>
        </patternFill>
      </fill>
    </dxf>
    <dxf>
      <fill>
        <patternFill>
          <bgColor rgb="FF92D050"/>
        </patternFill>
      </fill>
    </dxf>
    <dxf>
      <fill>
        <patternFill>
          <bgColor theme="5" tint="0.39994506668294322"/>
        </patternFill>
      </fill>
    </dxf>
    <dxf>
      <fill>
        <patternFill>
          <bgColor theme="0" tint="-0.24994659260841701"/>
        </patternFill>
      </fill>
    </dxf>
    <dxf>
      <fill>
        <patternFill>
          <bgColor rgb="FF92D050"/>
        </patternFill>
      </fill>
    </dxf>
    <dxf>
      <fill>
        <patternFill>
          <bgColor theme="5" tint="0.39994506668294322"/>
        </patternFill>
      </fill>
    </dxf>
    <dxf>
      <fill>
        <patternFill>
          <bgColor theme="0" tint="-0.24994659260841701"/>
        </patternFill>
      </fill>
    </dxf>
    <dxf>
      <fill>
        <patternFill>
          <bgColor rgb="FF92D050"/>
        </patternFill>
      </fill>
    </dxf>
    <dxf>
      <fill>
        <patternFill>
          <bgColor theme="5" tint="0.39994506668294322"/>
        </patternFill>
      </fill>
    </dxf>
    <dxf>
      <fill>
        <patternFill>
          <bgColor theme="0" tint="-0.24994659260841701"/>
        </patternFill>
      </fill>
    </dxf>
    <dxf>
      <fill>
        <patternFill>
          <bgColor rgb="FF92D050"/>
        </patternFill>
      </fill>
    </dxf>
    <dxf>
      <fill>
        <patternFill>
          <bgColor theme="5" tint="0.39994506668294322"/>
        </patternFill>
      </fill>
    </dxf>
    <dxf>
      <fill>
        <patternFill>
          <bgColor rgb="FF92D050"/>
        </patternFill>
      </fill>
    </dxf>
    <dxf>
      <fill>
        <patternFill>
          <bgColor theme="0" tint="-0.24994659260841701"/>
        </patternFill>
      </fill>
    </dxf>
    <dxf>
      <fill>
        <patternFill>
          <bgColor theme="5"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theme="0" tint="-0.24994659260841701"/>
        </patternFill>
      </fill>
    </dxf>
    <dxf>
      <fill>
        <patternFill>
          <bgColor theme="5" tint="0.39994506668294322"/>
        </patternFill>
      </fill>
    </dxf>
    <dxf>
      <fill>
        <patternFill>
          <bgColor theme="0" tint="-0.24994659260841701"/>
        </patternFill>
      </fill>
    </dxf>
  </dxfs>
  <tableStyles count="0" defaultTableStyle="TableStyleMedium2"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6E6E6"/>
      <rgbColor rgb="00808080"/>
      <rgbColor rgb="009999FF"/>
      <rgbColor rgb="00993366"/>
      <rgbColor rgb="00FFFFCC"/>
      <rgbColor rgb="00CCFFFF"/>
      <rgbColor rgb="00660066"/>
      <rgbColor rgb="00FF7C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47171</xdr:colOff>
      <xdr:row>1</xdr:row>
      <xdr:rowOff>56242</xdr:rowOff>
    </xdr:from>
    <xdr:to>
      <xdr:col>9</xdr:col>
      <xdr:colOff>753879</xdr:colOff>
      <xdr:row>3</xdr:row>
      <xdr:rowOff>136071</xdr:rowOff>
    </xdr:to>
    <xdr:pic>
      <xdr:nvPicPr>
        <xdr:cNvPr id="2" name="Bild 7">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28971" y="221342"/>
          <a:ext cx="706708" cy="4100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48106</xdr:colOff>
      <xdr:row>1</xdr:row>
      <xdr:rowOff>38100</xdr:rowOff>
    </xdr:from>
    <xdr:to>
      <xdr:col>9</xdr:col>
      <xdr:colOff>754814</xdr:colOff>
      <xdr:row>3</xdr:row>
      <xdr:rowOff>114300</xdr:rowOff>
    </xdr:to>
    <xdr:pic>
      <xdr:nvPicPr>
        <xdr:cNvPr id="2" name="Bild 7">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29906" y="203200"/>
          <a:ext cx="706708" cy="406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108</xdr:col>
          <xdr:colOff>228600</xdr:colOff>
          <xdr:row>0</xdr:row>
          <xdr:rowOff>139700</xdr:rowOff>
        </xdr:from>
        <xdr:to>
          <xdr:col>120</xdr:col>
          <xdr:colOff>165100</xdr:colOff>
          <xdr:row>0</xdr:row>
          <xdr:rowOff>520700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000" b="0" i="0" u="none" strike="noStrike" baseline="0">
                  <a:solidFill>
                    <a:srgbClr val="000000"/>
                  </a:solidFill>
                  <a:latin typeface="Arial" pitchFamily="2" charset="0"/>
                  <a:cs typeface="Arial" pitchFamily="2" charset="0"/>
                </a:rPr>
                <a:t>Export Ferientage</a:t>
              </a:r>
            </a:p>
            <a:p>
              <a:pPr algn="ctr" rtl="0">
                <a:defRPr sz="1000"/>
              </a:pPr>
              <a:r>
                <a:rPr lang="de-DE" sz="1000" b="0" i="0" u="none" strike="noStrike" baseline="0">
                  <a:solidFill>
                    <a:srgbClr val="000000"/>
                  </a:solidFill>
                  <a:latin typeface="Arial" pitchFamily="2" charset="0"/>
                  <a:cs typeface="Arial" pitchFamily="2" charset="0"/>
                </a:rPr>
                <a:t>als .ics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121</xdr:col>
          <xdr:colOff>88900</xdr:colOff>
          <xdr:row>0</xdr:row>
          <xdr:rowOff>139700</xdr:rowOff>
        </xdr:from>
        <xdr:to>
          <xdr:col>132</xdr:col>
          <xdr:colOff>279400</xdr:colOff>
          <xdr:row>0</xdr:row>
          <xdr:rowOff>520700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000" b="0" i="0" u="none" strike="noStrike" baseline="0">
                  <a:solidFill>
                    <a:srgbClr val="000000"/>
                  </a:solidFill>
                  <a:latin typeface="Arial" pitchFamily="2" charset="0"/>
                  <a:cs typeface="Arial" pitchFamily="2" charset="0"/>
                </a:rPr>
                <a:t>Export Feiertage</a:t>
              </a:r>
            </a:p>
            <a:p>
              <a:pPr algn="ctr" rtl="0">
                <a:defRPr sz="1000"/>
              </a:pPr>
              <a:r>
                <a:rPr lang="de-DE" sz="1000" b="0" i="0" u="none" strike="noStrike" baseline="0">
                  <a:solidFill>
                    <a:srgbClr val="000000"/>
                  </a:solidFill>
                  <a:latin typeface="Arial" pitchFamily="2" charset="0"/>
                  <a:cs typeface="Arial" pitchFamily="2" charset="0"/>
                </a:rPr>
                <a:t>als .ics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133</xdr:col>
          <xdr:colOff>0</xdr:colOff>
          <xdr:row>0</xdr:row>
          <xdr:rowOff>139700</xdr:rowOff>
        </xdr:from>
        <xdr:to>
          <xdr:col>144</xdr:col>
          <xdr:colOff>203200</xdr:colOff>
          <xdr:row>0</xdr:row>
          <xdr:rowOff>520700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000" b="0" i="0" u="none" strike="noStrike" baseline="0">
                  <a:solidFill>
                    <a:srgbClr val="000000"/>
                  </a:solidFill>
                  <a:latin typeface="Arial" pitchFamily="2" charset="0"/>
                  <a:cs typeface="Arial" pitchFamily="2" charset="0"/>
                </a:rPr>
                <a:t>Export Aufenthalte</a:t>
              </a:r>
            </a:p>
            <a:p>
              <a:pPr algn="ctr" rtl="0">
                <a:defRPr sz="1000"/>
              </a:pPr>
              <a:r>
                <a:rPr lang="de-DE" sz="1000" b="0" i="0" u="none" strike="noStrike" baseline="0">
                  <a:solidFill>
                    <a:srgbClr val="000000"/>
                  </a:solidFill>
                  <a:latin typeface="Arial" pitchFamily="2" charset="0"/>
                  <a:cs typeface="Arial" pitchFamily="2" charset="0"/>
                </a:rPr>
                <a:t>als .ics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hyperlink" Target="http://www.kalenderpedia.de/"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B0E42-BFA0-9B40-8564-76D11DB6F03E}">
  <sheetPr codeName="Tabelle7">
    <tabColor rgb="FF00B050"/>
  </sheetPr>
  <dimension ref="B2:J61"/>
  <sheetViews>
    <sheetView showGridLines="0" tabSelected="1" view="pageBreakPreview" zoomScale="70" zoomScaleNormal="100" zoomScaleSheetLayoutView="70" workbookViewId="0">
      <selection activeCell="B24" sqref="B24:B25"/>
    </sheetView>
  </sheetViews>
  <sheetFormatPr baseColWidth="10" defaultRowHeight="13"/>
  <cols>
    <col min="1" max="1" width="2.33203125" customWidth="1"/>
    <col min="11" max="11" width="2.6640625" customWidth="1"/>
    <col min="13" max="13" width="4.33203125" customWidth="1"/>
  </cols>
  <sheetData>
    <row r="2" spans="2:10">
      <c r="B2" s="95" t="s">
        <v>79</v>
      </c>
      <c r="C2" s="96"/>
      <c r="D2" s="96"/>
      <c r="E2" s="96"/>
      <c r="F2" s="96"/>
      <c r="G2" s="96"/>
      <c r="H2" s="96"/>
      <c r="I2" s="96"/>
      <c r="J2" s="97"/>
    </row>
    <row r="3" spans="2:10">
      <c r="B3" s="98"/>
      <c r="C3" s="99"/>
      <c r="D3" s="99"/>
      <c r="E3" s="99"/>
      <c r="F3" s="99"/>
      <c r="G3" s="99"/>
      <c r="H3" s="99"/>
      <c r="I3" s="99"/>
      <c r="J3" s="100"/>
    </row>
    <row r="4" spans="2:10">
      <c r="B4" s="101"/>
      <c r="C4" s="102"/>
      <c r="D4" s="102"/>
      <c r="E4" s="102"/>
      <c r="F4" s="102"/>
      <c r="G4" s="102"/>
      <c r="H4" s="102"/>
      <c r="I4" s="102"/>
      <c r="J4" s="103"/>
    </row>
    <row r="5" spans="2:10">
      <c r="B5" s="63"/>
      <c r="C5" s="63"/>
      <c r="D5" s="63"/>
      <c r="E5" s="63"/>
      <c r="F5" s="63"/>
      <c r="G5" s="63"/>
      <c r="H5" s="63"/>
      <c r="I5" s="63"/>
      <c r="J5" s="63"/>
    </row>
    <row r="6" spans="2:10">
      <c r="B6" s="1" t="s">
        <v>60</v>
      </c>
    </row>
    <row r="7" spans="2:10">
      <c r="B7" s="105" t="s">
        <v>78</v>
      </c>
      <c r="C7" s="106"/>
      <c r="D7" s="106"/>
      <c r="E7" s="106"/>
      <c r="F7" s="106"/>
      <c r="G7" s="106"/>
      <c r="H7" s="106"/>
      <c r="I7" s="106"/>
      <c r="J7" s="107"/>
    </row>
    <row r="8" spans="2:10">
      <c r="B8" s="108"/>
      <c r="C8" s="109"/>
      <c r="D8" s="109"/>
      <c r="E8" s="109"/>
      <c r="F8" s="109"/>
      <c r="G8" s="109"/>
      <c r="H8" s="109"/>
      <c r="I8" s="109"/>
      <c r="J8" s="110"/>
    </row>
    <row r="9" spans="2:10">
      <c r="B9" s="108"/>
      <c r="C9" s="109"/>
      <c r="D9" s="109"/>
      <c r="E9" s="109"/>
      <c r="F9" s="109"/>
      <c r="G9" s="109"/>
      <c r="H9" s="109"/>
      <c r="I9" s="109"/>
      <c r="J9" s="110"/>
    </row>
    <row r="10" spans="2:10">
      <c r="B10" s="108"/>
      <c r="C10" s="109"/>
      <c r="D10" s="109"/>
      <c r="E10" s="109"/>
      <c r="F10" s="109"/>
      <c r="G10" s="109"/>
      <c r="H10" s="109"/>
      <c r="I10" s="109"/>
      <c r="J10" s="110"/>
    </row>
    <row r="11" spans="2:10">
      <c r="B11" s="108"/>
      <c r="C11" s="109"/>
      <c r="D11" s="109"/>
      <c r="E11" s="109"/>
      <c r="F11" s="109"/>
      <c r="G11" s="109"/>
      <c r="H11" s="109"/>
      <c r="I11" s="109"/>
      <c r="J11" s="110"/>
    </row>
    <row r="12" spans="2:10">
      <c r="B12" s="108"/>
      <c r="C12" s="109"/>
      <c r="D12" s="109"/>
      <c r="E12" s="109"/>
      <c r="F12" s="109"/>
      <c r="G12" s="109"/>
      <c r="H12" s="109"/>
      <c r="I12" s="109"/>
      <c r="J12" s="110"/>
    </row>
    <row r="13" spans="2:10">
      <c r="B13" s="108"/>
      <c r="C13" s="109"/>
      <c r="D13" s="109"/>
      <c r="E13" s="109"/>
      <c r="F13" s="109"/>
      <c r="G13" s="109"/>
      <c r="H13" s="109"/>
      <c r="I13" s="109"/>
      <c r="J13" s="110"/>
    </row>
    <row r="14" spans="2:10">
      <c r="B14" s="108"/>
      <c r="C14" s="109"/>
      <c r="D14" s="109"/>
      <c r="E14" s="109"/>
      <c r="F14" s="109"/>
      <c r="G14" s="109"/>
      <c r="H14" s="109"/>
      <c r="I14" s="109"/>
      <c r="J14" s="110"/>
    </row>
    <row r="15" spans="2:10">
      <c r="B15" s="111"/>
      <c r="C15" s="112"/>
      <c r="D15" s="112"/>
      <c r="E15" s="112"/>
      <c r="F15" s="112"/>
      <c r="G15" s="112"/>
      <c r="H15" s="112"/>
      <c r="I15" s="112"/>
      <c r="J15" s="113"/>
    </row>
    <row r="17" spans="2:10">
      <c r="B17" s="1" t="s">
        <v>70</v>
      </c>
    </row>
    <row r="18" spans="2:10" ht="13" customHeight="1">
      <c r="B18" s="104" t="s">
        <v>80</v>
      </c>
      <c r="C18" s="104"/>
      <c r="D18" s="104"/>
      <c r="E18" s="104"/>
      <c r="F18" s="104"/>
      <c r="G18" s="104"/>
      <c r="H18" s="104"/>
      <c r="I18" s="104"/>
      <c r="J18" s="104"/>
    </row>
    <row r="19" spans="2:10">
      <c r="B19" s="104"/>
      <c r="C19" s="104"/>
      <c r="D19" s="104"/>
      <c r="E19" s="104"/>
      <c r="F19" s="104"/>
      <c r="G19" s="104"/>
      <c r="H19" s="104"/>
      <c r="I19" s="104"/>
      <c r="J19" s="104"/>
    </row>
    <row r="20" spans="2:10">
      <c r="B20" s="104"/>
      <c r="C20" s="104"/>
      <c r="D20" s="104"/>
      <c r="E20" s="104"/>
      <c r="F20" s="104"/>
      <c r="G20" s="104"/>
      <c r="H20" s="104"/>
      <c r="I20" s="104"/>
      <c r="J20" s="104"/>
    </row>
    <row r="22" spans="2:10">
      <c r="B22" s="1" t="s">
        <v>61</v>
      </c>
    </row>
    <row r="23" spans="2:10">
      <c r="B23" s="60" t="s">
        <v>42</v>
      </c>
      <c r="C23" s="60" t="s">
        <v>62</v>
      </c>
      <c r="D23" s="93" t="s">
        <v>63</v>
      </c>
      <c r="E23" s="94"/>
      <c r="F23" s="93" t="s">
        <v>64</v>
      </c>
      <c r="G23" s="94"/>
      <c r="H23" s="94"/>
      <c r="I23" s="94"/>
      <c r="J23" s="94"/>
    </row>
    <row r="24" spans="2:10">
      <c r="B24" s="133"/>
      <c r="C24" s="137"/>
      <c r="D24" s="138"/>
      <c r="E24" s="139"/>
      <c r="F24" s="140"/>
      <c r="G24" s="141"/>
      <c r="H24" s="141"/>
      <c r="I24" s="141"/>
      <c r="J24" s="142"/>
    </row>
    <row r="25" spans="2:10">
      <c r="B25" s="134"/>
      <c r="C25" s="136"/>
      <c r="D25" s="143"/>
      <c r="E25" s="144"/>
      <c r="F25" s="145"/>
      <c r="G25" s="146"/>
      <c r="H25" s="146"/>
      <c r="I25" s="146"/>
      <c r="J25" s="147"/>
    </row>
    <row r="26" spans="2:10">
      <c r="B26" s="133"/>
      <c r="C26" s="135"/>
      <c r="D26" s="148"/>
      <c r="E26" s="139"/>
      <c r="F26" s="149"/>
      <c r="G26" s="141"/>
      <c r="H26" s="141"/>
      <c r="I26" s="141"/>
      <c r="J26" s="142"/>
    </row>
    <row r="27" spans="2:10">
      <c r="B27" s="134"/>
      <c r="C27" s="136"/>
      <c r="D27" s="143"/>
      <c r="E27" s="144"/>
      <c r="F27" s="145"/>
      <c r="G27" s="146"/>
      <c r="H27" s="146"/>
      <c r="I27" s="146"/>
      <c r="J27" s="147"/>
    </row>
    <row r="28" spans="2:10">
      <c r="B28" s="133"/>
      <c r="C28" s="135"/>
      <c r="D28" s="148"/>
      <c r="E28" s="139"/>
      <c r="F28" s="149"/>
      <c r="G28" s="141"/>
      <c r="H28" s="141"/>
      <c r="I28" s="141"/>
      <c r="J28" s="142"/>
    </row>
    <row r="29" spans="2:10">
      <c r="B29" s="134"/>
      <c r="C29" s="136"/>
      <c r="D29" s="143"/>
      <c r="E29" s="144"/>
      <c r="F29" s="145"/>
      <c r="G29" s="146"/>
      <c r="H29" s="146"/>
      <c r="I29" s="146"/>
      <c r="J29" s="147"/>
    </row>
    <row r="30" spans="2:10">
      <c r="B30" s="133"/>
      <c r="C30" s="135"/>
      <c r="D30" s="148"/>
      <c r="E30" s="139"/>
      <c r="F30" s="149"/>
      <c r="G30" s="141"/>
      <c r="H30" s="141"/>
      <c r="I30" s="141"/>
      <c r="J30" s="142"/>
    </row>
    <row r="31" spans="2:10">
      <c r="B31" s="134"/>
      <c r="C31" s="136"/>
      <c r="D31" s="143"/>
      <c r="E31" s="144"/>
      <c r="F31" s="145"/>
      <c r="G31" s="146"/>
      <c r="H31" s="146"/>
      <c r="I31" s="146"/>
      <c r="J31" s="147"/>
    </row>
    <row r="32" spans="2:10">
      <c r="B32" s="133"/>
      <c r="C32" s="135"/>
      <c r="D32" s="148"/>
      <c r="E32" s="139"/>
      <c r="F32" s="149"/>
      <c r="G32" s="141"/>
      <c r="H32" s="141"/>
      <c r="I32" s="141"/>
      <c r="J32" s="142"/>
    </row>
    <row r="33" spans="2:10">
      <c r="B33" s="134"/>
      <c r="C33" s="136"/>
      <c r="D33" s="143"/>
      <c r="E33" s="144"/>
      <c r="F33" s="145"/>
      <c r="G33" s="146"/>
      <c r="H33" s="146"/>
      <c r="I33" s="146"/>
      <c r="J33" s="147"/>
    </row>
    <row r="34" spans="2:10">
      <c r="B34" s="133"/>
      <c r="C34" s="135"/>
      <c r="D34" s="148"/>
      <c r="E34" s="139"/>
      <c r="F34" s="149"/>
      <c r="G34" s="141"/>
      <c r="H34" s="141"/>
      <c r="I34" s="141"/>
      <c r="J34" s="142"/>
    </row>
    <row r="35" spans="2:10">
      <c r="B35" s="134"/>
      <c r="C35" s="136"/>
      <c r="D35" s="143"/>
      <c r="E35" s="144"/>
      <c r="F35" s="145"/>
      <c r="G35" s="146"/>
      <c r="H35" s="146"/>
      <c r="I35" s="146"/>
      <c r="J35" s="147"/>
    </row>
    <row r="36" spans="2:10">
      <c r="B36" s="133"/>
      <c r="C36" s="135"/>
      <c r="D36" s="148"/>
      <c r="E36" s="139"/>
      <c r="F36" s="149"/>
      <c r="G36" s="141"/>
      <c r="H36" s="141"/>
      <c r="I36" s="141"/>
      <c r="J36" s="142"/>
    </row>
    <row r="37" spans="2:10">
      <c r="B37" s="134"/>
      <c r="C37" s="136"/>
      <c r="D37" s="143"/>
      <c r="E37" s="144"/>
      <c r="F37" s="145"/>
      <c r="G37" s="146"/>
      <c r="H37" s="146"/>
      <c r="I37" s="146"/>
      <c r="J37" s="147"/>
    </row>
    <row r="38" spans="2:10">
      <c r="B38" s="133"/>
      <c r="C38" s="135"/>
      <c r="D38" s="148"/>
      <c r="E38" s="139"/>
      <c r="F38" s="149"/>
      <c r="G38" s="141"/>
      <c r="H38" s="141"/>
      <c r="I38" s="141"/>
      <c r="J38" s="142"/>
    </row>
    <row r="39" spans="2:10">
      <c r="B39" s="134"/>
      <c r="C39" s="136"/>
      <c r="D39" s="143"/>
      <c r="E39" s="144"/>
      <c r="F39" s="145"/>
      <c r="G39" s="146"/>
      <c r="H39" s="146"/>
      <c r="I39" s="146"/>
      <c r="J39" s="147"/>
    </row>
    <row r="40" spans="2:10">
      <c r="B40" s="133"/>
      <c r="C40" s="135"/>
      <c r="D40" s="148"/>
      <c r="E40" s="139"/>
      <c r="F40" s="149"/>
      <c r="G40" s="141"/>
      <c r="H40" s="141"/>
      <c r="I40" s="141"/>
      <c r="J40" s="142"/>
    </row>
    <row r="41" spans="2:10">
      <c r="B41" s="134"/>
      <c r="C41" s="136"/>
      <c r="D41" s="143"/>
      <c r="E41" s="144"/>
      <c r="F41" s="145"/>
      <c r="G41" s="146"/>
      <c r="H41" s="146"/>
      <c r="I41" s="146"/>
      <c r="J41" s="147"/>
    </row>
    <row r="42" spans="2:10">
      <c r="B42" s="133"/>
      <c r="C42" s="135"/>
      <c r="D42" s="148"/>
      <c r="E42" s="139"/>
      <c r="F42" s="149"/>
      <c r="G42" s="141"/>
      <c r="H42" s="141"/>
      <c r="I42" s="141"/>
      <c r="J42" s="142"/>
    </row>
    <row r="43" spans="2:10">
      <c r="B43" s="134"/>
      <c r="C43" s="136"/>
      <c r="D43" s="143"/>
      <c r="E43" s="144"/>
      <c r="F43" s="145"/>
      <c r="G43" s="146"/>
      <c r="H43" s="146"/>
      <c r="I43" s="146"/>
      <c r="J43" s="147"/>
    </row>
    <row r="44" spans="2:10">
      <c r="B44" s="133"/>
      <c r="C44" s="135"/>
      <c r="D44" s="148"/>
      <c r="E44" s="139"/>
      <c r="F44" s="149"/>
      <c r="G44" s="141"/>
      <c r="H44" s="141"/>
      <c r="I44" s="141"/>
      <c r="J44" s="142"/>
    </row>
    <row r="45" spans="2:10">
      <c r="B45" s="134"/>
      <c r="C45" s="136"/>
      <c r="D45" s="143"/>
      <c r="E45" s="144"/>
      <c r="F45" s="145"/>
      <c r="G45" s="146"/>
      <c r="H45" s="146"/>
      <c r="I45" s="146"/>
      <c r="J45" s="147"/>
    </row>
    <row r="46" spans="2:10">
      <c r="B46" s="133"/>
      <c r="C46" s="135"/>
      <c r="D46" s="148"/>
      <c r="E46" s="139"/>
      <c r="F46" s="149"/>
      <c r="G46" s="141"/>
      <c r="H46" s="141"/>
      <c r="I46" s="141"/>
      <c r="J46" s="142"/>
    </row>
    <row r="47" spans="2:10">
      <c r="B47" s="134"/>
      <c r="C47" s="136"/>
      <c r="D47" s="143"/>
      <c r="E47" s="144"/>
      <c r="F47" s="145"/>
      <c r="G47" s="146"/>
      <c r="H47" s="146"/>
      <c r="I47" s="146"/>
      <c r="J47" s="147"/>
    </row>
    <row r="48" spans="2:10">
      <c r="B48" s="133"/>
      <c r="C48" s="135"/>
      <c r="D48" s="148"/>
      <c r="E48" s="139"/>
      <c r="F48" s="149"/>
      <c r="G48" s="141"/>
      <c r="H48" s="141"/>
      <c r="I48" s="141"/>
      <c r="J48" s="142"/>
    </row>
    <row r="49" spans="2:10">
      <c r="B49" s="134"/>
      <c r="C49" s="136"/>
      <c r="D49" s="143"/>
      <c r="E49" s="144"/>
      <c r="F49" s="145"/>
      <c r="G49" s="146"/>
      <c r="H49" s="146"/>
      <c r="I49" s="146"/>
      <c r="J49" s="147"/>
    </row>
    <row r="50" spans="2:10">
      <c r="B50" s="133"/>
      <c r="C50" s="135"/>
      <c r="D50" s="148"/>
      <c r="E50" s="139"/>
      <c r="F50" s="149"/>
      <c r="G50" s="141"/>
      <c r="H50" s="141"/>
      <c r="I50" s="141"/>
      <c r="J50" s="142"/>
    </row>
    <row r="51" spans="2:10">
      <c r="B51" s="134"/>
      <c r="C51" s="136"/>
      <c r="D51" s="143"/>
      <c r="E51" s="144"/>
      <c r="F51" s="145"/>
      <c r="G51" s="146"/>
      <c r="H51" s="146"/>
      <c r="I51" s="146"/>
      <c r="J51" s="147"/>
    </row>
    <row r="52" spans="2:10">
      <c r="B52" s="62"/>
      <c r="C52" s="62"/>
      <c r="D52" s="62"/>
      <c r="E52" s="62"/>
      <c r="F52" s="62"/>
      <c r="G52" s="62"/>
      <c r="H52" s="62"/>
      <c r="I52" s="62"/>
      <c r="J52" s="62"/>
    </row>
    <row r="54" spans="2:10" ht="13" customHeight="1">
      <c r="B54" s="61" t="s">
        <v>65</v>
      </c>
      <c r="C54" s="114" t="s">
        <v>67</v>
      </c>
      <c r="D54" s="114"/>
      <c r="E54" s="114"/>
      <c r="F54" s="114"/>
      <c r="G54" s="114"/>
      <c r="H54" s="114"/>
      <c r="I54" s="114"/>
      <c r="J54" s="114"/>
    </row>
    <row r="55" spans="2:10" ht="14">
      <c r="B55" s="61" t="s">
        <v>66</v>
      </c>
      <c r="C55" s="114" t="str">
        <f ca="1">MID(CELL("Dateiname",A1),1,FIND("[",CELL("Dateiname",A1))-1) &amp; MID(CELL("Dateiname",A1),FIND("[",CELL("Dateiname",A1))+1,FIND("]",CELL("Dateiname",A1))-FIND("[",CELL("Dateiname",A1))-1)</f>
        <v>/Users/dennisjung/git/Ferienregelung/src/VORLAGE_Ferienregelung.xltm</v>
      </c>
      <c r="D55" s="114"/>
      <c r="E55" s="114"/>
      <c r="F55" s="114"/>
      <c r="G55" s="114"/>
      <c r="H55" s="114"/>
      <c r="I55" s="114"/>
      <c r="J55" s="114"/>
    </row>
    <row r="61" spans="2:10">
      <c r="B61" s="1"/>
    </row>
  </sheetData>
  <sheetProtection algorithmName="SHA-512" hashValue="C2gikZ0uzTdalvh5WA8t0spK2+PligBKYeo77tKn/MDB7xMkkh0ZAS1pZl5DIr2lQ3l1BpVLyFRBcX+m0upUfQ==" saltValue="J8FeROtuO9js8Wrx48kS4Q==" spinCount="100000" sheet="1" objects="1" scenarios="1" selectLockedCells="1"/>
  <mergeCells count="63">
    <mergeCell ref="D50:E51"/>
    <mergeCell ref="F50:J51"/>
    <mergeCell ref="B42:B43"/>
    <mergeCell ref="C42:C43"/>
    <mergeCell ref="D42:E43"/>
    <mergeCell ref="F42:J43"/>
    <mergeCell ref="B44:B45"/>
    <mergeCell ref="C44:C45"/>
    <mergeCell ref="D44:E45"/>
    <mergeCell ref="F44:J45"/>
    <mergeCell ref="B38:B39"/>
    <mergeCell ref="C38:C39"/>
    <mergeCell ref="D38:E39"/>
    <mergeCell ref="F38:J39"/>
    <mergeCell ref="C55:J55"/>
    <mergeCell ref="B46:B47"/>
    <mergeCell ref="C46:C47"/>
    <mergeCell ref="D46:E47"/>
    <mergeCell ref="F46:J47"/>
    <mergeCell ref="B48:B49"/>
    <mergeCell ref="C48:C49"/>
    <mergeCell ref="D48:E49"/>
    <mergeCell ref="F48:J49"/>
    <mergeCell ref="B50:B51"/>
    <mergeCell ref="C54:J54"/>
    <mergeCell ref="C50:C51"/>
    <mergeCell ref="B40:B41"/>
    <mergeCell ref="C40:C41"/>
    <mergeCell ref="D40:E41"/>
    <mergeCell ref="F40:J41"/>
    <mergeCell ref="B32:B33"/>
    <mergeCell ref="C32:C33"/>
    <mergeCell ref="D32:E33"/>
    <mergeCell ref="F32:J33"/>
    <mergeCell ref="B34:B35"/>
    <mergeCell ref="C34:C35"/>
    <mergeCell ref="D34:E35"/>
    <mergeCell ref="F34:J35"/>
    <mergeCell ref="B36:B37"/>
    <mergeCell ref="C36:C37"/>
    <mergeCell ref="D36:E37"/>
    <mergeCell ref="F36:J37"/>
    <mergeCell ref="B28:B29"/>
    <mergeCell ref="C28:C29"/>
    <mergeCell ref="D28:E29"/>
    <mergeCell ref="F28:J29"/>
    <mergeCell ref="B30:B31"/>
    <mergeCell ref="C30:C31"/>
    <mergeCell ref="D30:E31"/>
    <mergeCell ref="F30:J31"/>
    <mergeCell ref="B26:B27"/>
    <mergeCell ref="F23:J23"/>
    <mergeCell ref="D26:E27"/>
    <mergeCell ref="B2:J4"/>
    <mergeCell ref="D23:E23"/>
    <mergeCell ref="C26:C27"/>
    <mergeCell ref="F26:J27"/>
    <mergeCell ref="B18:J20"/>
    <mergeCell ref="B7:J15"/>
    <mergeCell ref="B24:B25"/>
    <mergeCell ref="C24:C25"/>
    <mergeCell ref="D24:E25"/>
    <mergeCell ref="F24:J25"/>
  </mergeCells>
  <pageMargins left="0.7" right="0.7" top="0.78740157499999996" bottom="0.78740157499999996" header="0.3" footer="0.3"/>
  <pageSetup paperSize="9" scale="58"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C6BFA-5E8F-F741-9460-923C59B03510}">
  <sheetPr codeName="Tabelle8">
    <tabColor rgb="FF00B050"/>
  </sheetPr>
  <dimension ref="B2:J55"/>
  <sheetViews>
    <sheetView showGridLines="0" view="pageBreakPreview" zoomScale="140" zoomScaleNormal="125" zoomScaleSheetLayoutView="70" workbookViewId="0">
      <selection activeCell="M19" sqref="M19"/>
    </sheetView>
  </sheetViews>
  <sheetFormatPr baseColWidth="10" defaultRowHeight="13"/>
  <cols>
    <col min="1" max="1" width="2.33203125" customWidth="1"/>
    <col min="11" max="11" width="2.6640625" customWidth="1"/>
    <col min="13" max="13" width="4.33203125" customWidth="1"/>
  </cols>
  <sheetData>
    <row r="2" spans="2:10">
      <c r="B2" s="95" t="s">
        <v>68</v>
      </c>
      <c r="C2" s="96"/>
      <c r="D2" s="96"/>
      <c r="E2" s="96"/>
      <c r="F2" s="96"/>
      <c r="G2" s="96"/>
      <c r="H2" s="96"/>
      <c r="I2" s="96"/>
      <c r="J2" s="97"/>
    </row>
    <row r="3" spans="2:10">
      <c r="B3" s="98"/>
      <c r="C3" s="99"/>
      <c r="D3" s="99"/>
      <c r="E3" s="99"/>
      <c r="F3" s="99"/>
      <c r="G3" s="99"/>
      <c r="H3" s="99"/>
      <c r="I3" s="99"/>
      <c r="J3" s="100"/>
    </row>
    <row r="4" spans="2:10">
      <c r="B4" s="101"/>
      <c r="C4" s="102"/>
      <c r="D4" s="102"/>
      <c r="E4" s="102"/>
      <c r="F4" s="102"/>
      <c r="G4" s="102"/>
      <c r="H4" s="102"/>
      <c r="I4" s="102"/>
      <c r="J4" s="103"/>
    </row>
    <row r="5" spans="2:10">
      <c r="B5" s="63"/>
      <c r="C5" s="63"/>
      <c r="D5" s="63"/>
      <c r="E5" s="63"/>
      <c r="F5" s="63"/>
      <c r="G5" s="63"/>
      <c r="H5" s="63"/>
      <c r="I5" s="63"/>
      <c r="J5" s="63"/>
    </row>
    <row r="7" spans="2:10" ht="13" customHeight="1">
      <c r="B7" s="104" t="s">
        <v>81</v>
      </c>
      <c r="C7" s="104"/>
      <c r="D7" s="104"/>
      <c r="E7" s="104"/>
      <c r="F7" s="104"/>
      <c r="G7" s="104"/>
      <c r="H7" s="104"/>
      <c r="I7" s="104"/>
      <c r="J7" s="104"/>
    </row>
    <row r="8" spans="2:10" ht="13" customHeight="1">
      <c r="B8" s="104"/>
      <c r="C8" s="104"/>
      <c r="D8" s="104"/>
      <c r="E8" s="104"/>
      <c r="F8" s="104"/>
      <c r="G8" s="104"/>
      <c r="H8" s="104"/>
      <c r="I8" s="104"/>
      <c r="J8" s="104"/>
    </row>
    <row r="9" spans="2:10">
      <c r="B9" s="104"/>
      <c r="C9" s="104"/>
      <c r="D9" s="104"/>
      <c r="E9" s="104"/>
      <c r="F9" s="104"/>
      <c r="G9" s="104"/>
      <c r="H9" s="104"/>
      <c r="I9" s="104"/>
      <c r="J9" s="104"/>
    </row>
    <row r="10" spans="2:10">
      <c r="B10" s="104"/>
      <c r="C10" s="104"/>
      <c r="D10" s="104"/>
      <c r="E10" s="104"/>
      <c r="F10" s="104"/>
      <c r="G10" s="104"/>
      <c r="H10" s="104"/>
      <c r="I10" s="104"/>
      <c r="J10" s="104"/>
    </row>
    <row r="11" spans="2:10">
      <c r="B11" s="104"/>
      <c r="C11" s="104"/>
      <c r="D11" s="104"/>
      <c r="E11" s="104"/>
      <c r="F11" s="104"/>
      <c r="G11" s="104"/>
      <c r="H11" s="104"/>
      <c r="I11" s="104"/>
      <c r="J11" s="104"/>
    </row>
    <row r="12" spans="2:10">
      <c r="B12" s="104"/>
      <c r="C12" s="104"/>
      <c r="D12" s="104"/>
      <c r="E12" s="104"/>
      <c r="F12" s="104"/>
      <c r="G12" s="104"/>
      <c r="H12" s="104"/>
      <c r="I12" s="104"/>
      <c r="J12" s="104"/>
    </row>
    <row r="13" spans="2:10">
      <c r="B13" s="104"/>
      <c r="C13" s="104"/>
      <c r="D13" s="104"/>
      <c r="E13" s="104"/>
      <c r="F13" s="104"/>
      <c r="G13" s="104"/>
      <c r="H13" s="104"/>
      <c r="I13" s="104"/>
      <c r="J13" s="104"/>
    </row>
    <row r="14" spans="2:10">
      <c r="B14" s="104"/>
      <c r="C14" s="104"/>
      <c r="D14" s="104"/>
      <c r="E14" s="104"/>
      <c r="F14" s="104"/>
      <c r="G14" s="104"/>
      <c r="H14" s="104"/>
      <c r="I14" s="104"/>
      <c r="J14" s="104"/>
    </row>
    <row r="15" spans="2:10">
      <c r="B15" s="104"/>
      <c r="C15" s="104"/>
      <c r="D15" s="104"/>
      <c r="E15" s="104"/>
      <c r="F15" s="104"/>
      <c r="G15" s="104"/>
      <c r="H15" s="104"/>
      <c r="I15" s="104"/>
      <c r="J15" s="104"/>
    </row>
    <row r="16" spans="2:10">
      <c r="B16" s="104"/>
      <c r="C16" s="104"/>
      <c r="D16" s="104"/>
      <c r="E16" s="104"/>
      <c r="F16" s="104"/>
      <c r="G16" s="104"/>
      <c r="H16" s="104"/>
      <c r="I16" s="104"/>
      <c r="J16" s="104"/>
    </row>
    <row r="17" spans="2:10">
      <c r="B17" s="104"/>
      <c r="C17" s="104"/>
      <c r="D17" s="104"/>
      <c r="E17" s="104"/>
      <c r="F17" s="104"/>
      <c r="G17" s="104"/>
      <c r="H17" s="104"/>
      <c r="I17" s="104"/>
      <c r="J17" s="104"/>
    </row>
    <row r="18" spans="2:10">
      <c r="B18" s="104"/>
      <c r="C18" s="104"/>
      <c r="D18" s="104"/>
      <c r="E18" s="104"/>
      <c r="F18" s="104"/>
      <c r="G18" s="104"/>
      <c r="H18" s="104"/>
      <c r="I18" s="104"/>
      <c r="J18" s="104"/>
    </row>
    <row r="19" spans="2:10">
      <c r="B19" s="104"/>
      <c r="C19" s="104"/>
      <c r="D19" s="104"/>
      <c r="E19" s="104"/>
      <c r="F19" s="104"/>
      <c r="G19" s="104"/>
      <c r="H19" s="104"/>
      <c r="I19" s="104"/>
      <c r="J19" s="104"/>
    </row>
    <row r="20" spans="2:10">
      <c r="B20" s="104"/>
      <c r="C20" s="104"/>
      <c r="D20" s="104"/>
      <c r="E20" s="104"/>
      <c r="F20" s="104"/>
      <c r="G20" s="104"/>
      <c r="H20" s="104"/>
      <c r="I20" s="104"/>
      <c r="J20" s="104"/>
    </row>
    <row r="21" spans="2:10" ht="13" customHeight="1">
      <c r="B21" s="104"/>
      <c r="C21" s="104"/>
      <c r="D21" s="104"/>
      <c r="E21" s="104"/>
      <c r="F21" s="104"/>
      <c r="G21" s="104"/>
      <c r="H21" s="104"/>
      <c r="I21" s="104"/>
      <c r="J21" s="104"/>
    </row>
    <row r="22" spans="2:10">
      <c r="B22" s="104"/>
      <c r="C22" s="104"/>
      <c r="D22" s="104"/>
      <c r="E22" s="104"/>
      <c r="F22" s="104"/>
      <c r="G22" s="104"/>
      <c r="H22" s="104"/>
      <c r="I22" s="104"/>
      <c r="J22" s="104"/>
    </row>
    <row r="23" spans="2:10">
      <c r="B23" s="104"/>
      <c r="C23" s="104"/>
      <c r="D23" s="104"/>
      <c r="E23" s="104"/>
      <c r="F23" s="104"/>
      <c r="G23" s="104"/>
      <c r="H23" s="104"/>
      <c r="I23" s="104"/>
      <c r="J23" s="104"/>
    </row>
    <row r="24" spans="2:10">
      <c r="B24" s="104"/>
      <c r="C24" s="104"/>
      <c r="D24" s="104"/>
      <c r="E24" s="104"/>
      <c r="F24" s="104"/>
      <c r="G24" s="104"/>
      <c r="H24" s="104"/>
      <c r="I24" s="104"/>
      <c r="J24" s="104"/>
    </row>
    <row r="25" spans="2:10">
      <c r="B25" s="104"/>
      <c r="C25" s="104"/>
      <c r="D25" s="104"/>
      <c r="E25" s="104"/>
      <c r="F25" s="104"/>
      <c r="G25" s="104"/>
      <c r="H25" s="104"/>
      <c r="I25" s="104"/>
      <c r="J25" s="104"/>
    </row>
    <row r="26" spans="2:10">
      <c r="B26" s="104"/>
      <c r="C26" s="104"/>
      <c r="D26" s="104"/>
      <c r="E26" s="104"/>
      <c r="F26" s="104"/>
      <c r="G26" s="104"/>
      <c r="H26" s="104"/>
      <c r="I26" s="104"/>
      <c r="J26" s="104"/>
    </row>
    <row r="27" spans="2:10">
      <c r="B27" s="104"/>
      <c r="C27" s="104"/>
      <c r="D27" s="104"/>
      <c r="E27" s="104"/>
      <c r="F27" s="104"/>
      <c r="G27" s="104"/>
      <c r="H27" s="104"/>
      <c r="I27" s="104"/>
      <c r="J27" s="104"/>
    </row>
    <row r="28" spans="2:10">
      <c r="B28" s="104"/>
      <c r="C28" s="104"/>
      <c r="D28" s="104"/>
      <c r="E28" s="104"/>
      <c r="F28" s="104"/>
      <c r="G28" s="104"/>
      <c r="H28" s="104"/>
      <c r="I28" s="104"/>
      <c r="J28" s="104"/>
    </row>
    <row r="29" spans="2:10">
      <c r="B29" s="104"/>
      <c r="C29" s="104"/>
      <c r="D29" s="104"/>
      <c r="E29" s="104"/>
      <c r="F29" s="104"/>
      <c r="G29" s="104"/>
      <c r="H29" s="104"/>
      <c r="I29" s="104"/>
      <c r="J29" s="104"/>
    </row>
    <row r="30" spans="2:10">
      <c r="B30" s="104"/>
      <c r="C30" s="104"/>
      <c r="D30" s="104"/>
      <c r="E30" s="104"/>
      <c r="F30" s="104"/>
      <c r="G30" s="104"/>
      <c r="H30" s="104"/>
      <c r="I30" s="104"/>
      <c r="J30" s="104"/>
    </row>
    <row r="31" spans="2:10">
      <c r="B31" s="104"/>
      <c r="C31" s="104"/>
      <c r="D31" s="104"/>
      <c r="E31" s="104"/>
      <c r="F31" s="104"/>
      <c r="G31" s="104"/>
      <c r="H31" s="104"/>
      <c r="I31" s="104"/>
      <c r="J31" s="104"/>
    </row>
    <row r="32" spans="2:10">
      <c r="B32" s="104"/>
      <c r="C32" s="104"/>
      <c r="D32" s="104"/>
      <c r="E32" s="104"/>
      <c r="F32" s="104"/>
      <c r="G32" s="104"/>
      <c r="H32" s="104"/>
      <c r="I32" s="104"/>
      <c r="J32" s="104"/>
    </row>
    <row r="33" spans="2:10">
      <c r="B33" s="104"/>
      <c r="C33" s="104"/>
      <c r="D33" s="104"/>
      <c r="E33" s="104"/>
      <c r="F33" s="104"/>
      <c r="G33" s="104"/>
      <c r="H33" s="104"/>
      <c r="I33" s="104"/>
      <c r="J33" s="104"/>
    </row>
    <row r="34" spans="2:10">
      <c r="B34" s="104"/>
      <c r="C34" s="104"/>
      <c r="D34" s="104"/>
      <c r="E34" s="104"/>
      <c r="F34" s="104"/>
      <c r="G34" s="104"/>
      <c r="H34" s="104"/>
      <c r="I34" s="104"/>
      <c r="J34" s="104"/>
    </row>
    <row r="35" spans="2:10">
      <c r="B35" s="104"/>
      <c r="C35" s="104"/>
      <c r="D35" s="104"/>
      <c r="E35" s="104"/>
      <c r="F35" s="104"/>
      <c r="G35" s="104"/>
      <c r="H35" s="104"/>
      <c r="I35" s="104"/>
      <c r="J35" s="104"/>
    </row>
    <row r="36" spans="2:10">
      <c r="B36" s="104"/>
      <c r="C36" s="104"/>
      <c r="D36" s="104"/>
      <c r="E36" s="104"/>
      <c r="F36" s="104"/>
      <c r="G36" s="104"/>
      <c r="H36" s="104"/>
      <c r="I36" s="104"/>
      <c r="J36" s="104"/>
    </row>
    <row r="37" spans="2:10">
      <c r="B37" s="104"/>
      <c r="C37" s="104"/>
      <c r="D37" s="104"/>
      <c r="E37" s="104"/>
      <c r="F37" s="104"/>
      <c r="G37" s="104"/>
      <c r="H37" s="104"/>
      <c r="I37" s="104"/>
      <c r="J37" s="104"/>
    </row>
    <row r="38" spans="2:10">
      <c r="B38" s="104"/>
      <c r="C38" s="104"/>
      <c r="D38" s="104"/>
      <c r="E38" s="104"/>
      <c r="F38" s="104"/>
      <c r="G38" s="104"/>
      <c r="H38" s="104"/>
      <c r="I38" s="104"/>
      <c r="J38" s="104"/>
    </row>
    <row r="39" spans="2:10">
      <c r="B39" s="104"/>
      <c r="C39" s="104"/>
      <c r="D39" s="104"/>
      <c r="E39" s="104"/>
      <c r="F39" s="104"/>
      <c r="G39" s="104"/>
      <c r="H39" s="104"/>
      <c r="I39" s="104"/>
      <c r="J39" s="104"/>
    </row>
    <row r="40" spans="2:10">
      <c r="B40" s="104"/>
      <c r="C40" s="104"/>
      <c r="D40" s="104"/>
      <c r="E40" s="104"/>
      <c r="F40" s="104"/>
      <c r="G40" s="104"/>
      <c r="H40" s="104"/>
      <c r="I40" s="104"/>
      <c r="J40" s="104"/>
    </row>
    <row r="41" spans="2:10">
      <c r="B41" s="104"/>
      <c r="C41" s="104"/>
      <c r="D41" s="104"/>
      <c r="E41" s="104"/>
      <c r="F41" s="104"/>
      <c r="G41" s="104"/>
      <c r="H41" s="104"/>
      <c r="I41" s="104"/>
      <c r="J41" s="104"/>
    </row>
    <row r="42" spans="2:10">
      <c r="B42" s="104"/>
      <c r="C42" s="104"/>
      <c r="D42" s="104"/>
      <c r="E42" s="104"/>
      <c r="F42" s="104"/>
      <c r="G42" s="104"/>
      <c r="H42" s="104"/>
      <c r="I42" s="104"/>
      <c r="J42" s="104"/>
    </row>
    <row r="43" spans="2:10">
      <c r="B43" s="104"/>
      <c r="C43" s="104"/>
      <c r="D43" s="104"/>
      <c r="E43" s="104"/>
      <c r="F43" s="104"/>
      <c r="G43" s="104"/>
      <c r="H43" s="104"/>
      <c r="I43" s="104"/>
      <c r="J43" s="104"/>
    </row>
    <row r="44" spans="2:10">
      <c r="B44" s="104"/>
      <c r="C44" s="104"/>
      <c r="D44" s="104"/>
      <c r="E44" s="104"/>
      <c r="F44" s="104"/>
      <c r="G44" s="104"/>
      <c r="H44" s="104"/>
      <c r="I44" s="104"/>
      <c r="J44" s="104"/>
    </row>
    <row r="45" spans="2:10">
      <c r="B45" s="104"/>
      <c r="C45" s="104"/>
      <c r="D45" s="104"/>
      <c r="E45" s="104"/>
      <c r="F45" s="104"/>
      <c r="G45" s="104"/>
      <c r="H45" s="104"/>
      <c r="I45" s="104"/>
      <c r="J45" s="104"/>
    </row>
    <row r="46" spans="2:10">
      <c r="B46" s="104"/>
      <c r="C46" s="104"/>
      <c r="D46" s="104"/>
      <c r="E46" s="104"/>
      <c r="F46" s="104"/>
      <c r="G46" s="104"/>
      <c r="H46" s="104"/>
      <c r="I46" s="104"/>
      <c r="J46" s="104"/>
    </row>
    <row r="47" spans="2:10">
      <c r="B47" s="104"/>
      <c r="C47" s="104"/>
      <c r="D47" s="104"/>
      <c r="E47" s="104"/>
      <c r="F47" s="104"/>
      <c r="G47" s="104"/>
      <c r="H47" s="104"/>
      <c r="I47" s="104"/>
      <c r="J47" s="104"/>
    </row>
    <row r="48" spans="2:10">
      <c r="B48" s="104"/>
      <c r="C48" s="104"/>
      <c r="D48" s="104"/>
      <c r="E48" s="104"/>
      <c r="F48" s="104"/>
      <c r="G48" s="104"/>
      <c r="H48" s="104"/>
      <c r="I48" s="104"/>
      <c r="J48" s="104"/>
    </row>
    <row r="49" spans="2:10">
      <c r="B49" s="104"/>
      <c r="C49" s="104"/>
      <c r="D49" s="104"/>
      <c r="E49" s="104"/>
      <c r="F49" s="104"/>
      <c r="G49" s="104"/>
      <c r="H49" s="104"/>
      <c r="I49" s="104"/>
      <c r="J49" s="104"/>
    </row>
    <row r="50" spans="2:10">
      <c r="B50" s="104"/>
      <c r="C50" s="104"/>
      <c r="D50" s="104"/>
      <c r="E50" s="104"/>
      <c r="F50" s="104"/>
      <c r="G50" s="104"/>
      <c r="H50" s="104"/>
      <c r="I50" s="104"/>
      <c r="J50" s="104"/>
    </row>
    <row r="51" spans="2:10" ht="13" customHeight="1">
      <c r="B51" s="104"/>
      <c r="C51" s="104"/>
      <c r="D51" s="104"/>
      <c r="E51" s="104"/>
      <c r="F51" s="104"/>
      <c r="G51" s="104"/>
      <c r="H51" s="104"/>
      <c r="I51" s="104"/>
      <c r="J51" s="104"/>
    </row>
    <row r="52" spans="2:10">
      <c r="B52" s="104"/>
      <c r="C52" s="104"/>
      <c r="D52" s="104"/>
      <c r="E52" s="104"/>
      <c r="F52" s="104"/>
      <c r="G52" s="104"/>
      <c r="H52" s="104"/>
      <c r="I52" s="104"/>
      <c r="J52" s="104"/>
    </row>
    <row r="53" spans="2:10">
      <c r="B53" s="104"/>
      <c r="C53" s="104"/>
      <c r="D53" s="104"/>
      <c r="E53" s="104"/>
      <c r="F53" s="104"/>
      <c r="G53" s="104"/>
      <c r="H53" s="104"/>
      <c r="I53" s="104"/>
      <c r="J53" s="104"/>
    </row>
    <row r="54" spans="2:10">
      <c r="B54" s="104"/>
      <c r="C54" s="104"/>
      <c r="D54" s="104"/>
      <c r="E54" s="104"/>
      <c r="F54" s="104"/>
      <c r="G54" s="104"/>
      <c r="H54" s="104"/>
      <c r="I54" s="104"/>
      <c r="J54" s="104"/>
    </row>
    <row r="55" spans="2:10">
      <c r="B55" s="104"/>
      <c r="C55" s="104"/>
      <c r="D55" s="104"/>
      <c r="E55" s="104"/>
      <c r="F55" s="104"/>
      <c r="G55" s="104"/>
      <c r="H55" s="104"/>
      <c r="I55" s="104"/>
      <c r="J55" s="104"/>
    </row>
  </sheetData>
  <sheetProtection algorithmName="SHA-512" hashValue="drfpU9SIpYcGv0H1CSezQIFX+71gCHK2wxUyyq/ICkgyDAvPNTKKKf8p+vJhxMccspu+D37hgfcxApBTrhfXgA==" saltValue="FD5dCSUNPQYwaL/QQKO4LQ==" spinCount="100000" sheet="1" objects="1" scenarios="1" selectLockedCells="1"/>
  <mergeCells count="2">
    <mergeCell ref="B2:J4"/>
    <mergeCell ref="B7:J55"/>
  </mergeCells>
  <pageMargins left="0.7" right="0.7" top="0.78740157499999996" bottom="0.78740157499999996" header="0.3" footer="0.3"/>
  <pageSetup paperSize="9" scale="58"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1206D-45FA-E146-A8A8-F66117F93B19}">
  <sheetPr codeName="Tabelle1">
    <tabColor rgb="FFFFC000"/>
  </sheetPr>
  <dimension ref="A1:G5"/>
  <sheetViews>
    <sheetView showGridLines="0" workbookViewId="0">
      <selection activeCell="B4" sqref="B4"/>
    </sheetView>
  </sheetViews>
  <sheetFormatPr baseColWidth="10" defaultRowHeight="13"/>
  <cols>
    <col min="1" max="1" width="18.33203125" customWidth="1"/>
    <col min="2" max="2" width="25.6640625" customWidth="1"/>
    <col min="6" max="6" width="14" hidden="1" customWidth="1"/>
    <col min="7" max="7" width="10.83203125" hidden="1" customWidth="1"/>
  </cols>
  <sheetData>
    <row r="1" spans="1:7" ht="14" customHeight="1">
      <c r="A1" s="58" t="s">
        <v>19</v>
      </c>
      <c r="B1" s="65" t="s">
        <v>72</v>
      </c>
      <c r="F1" s="58" t="s">
        <v>49</v>
      </c>
      <c r="G1" s="57" t="s">
        <v>54</v>
      </c>
    </row>
    <row r="2" spans="1:7">
      <c r="A2" s="58" t="s">
        <v>20</v>
      </c>
      <c r="B2" s="66">
        <v>2018</v>
      </c>
    </row>
    <row r="4" spans="1:7">
      <c r="A4" s="58" t="s">
        <v>55</v>
      </c>
      <c r="B4" s="65" t="s">
        <v>41</v>
      </c>
    </row>
    <row r="5" spans="1:7">
      <c r="A5" s="58" t="s">
        <v>56</v>
      </c>
      <c r="B5" s="65" t="s">
        <v>40</v>
      </c>
    </row>
  </sheetData>
  <sheetProtection algorithmName="SHA-512" hashValue="U+incsbSieYzHoqgb67ED+E2yaUxOuxYDmwBXAHB/+10DkFlRS+Q++878BEdq0xaa9kzbd+r3h4GzI1GZLStyA==" saltValue="sQrXBbePQAXk9O1IXKPJnw==" spinCount="100000" sheet="1" objects="1" scenarios="1" selectLockedCells="1"/>
  <customSheetViews>
    <customSheetView guid="{19F2C78B-640B-4445-8A9B-8FF71EE799BF}">
      <selection activeCell="B3" sqref="B3"/>
      <pageMargins left="0.7" right="0.7" top="0.78740157499999996" bottom="0.78740157499999996" header="0.3" footer="0.3"/>
    </customSheetView>
    <customSheetView guid="{C000300E-3872-7844-B072-10EE917F89C0}">
      <pageMargins left="0.7" right="0.7" top="0.78740157499999996" bottom="0.78740157499999996" header="0.3" footer="0.3"/>
    </customSheetView>
  </customSheetView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pageSetUpPr autoPageBreaks="0" fitToPage="1"/>
  </sheetPr>
  <dimension ref="B1:EO53"/>
  <sheetViews>
    <sheetView showGridLines="0" zoomScale="50" zoomScaleNormal="130" zoomScaleSheetLayoutView="50" workbookViewId="0">
      <selection activeCell="BO38" sqref="BO38:CL38"/>
    </sheetView>
  </sheetViews>
  <sheetFormatPr baseColWidth="10" defaultColWidth="8.83203125" defaultRowHeight="13"/>
  <cols>
    <col min="1" max="1" width="4.33203125" customWidth="1"/>
    <col min="2" max="2" width="3.33203125" hidden="1" customWidth="1"/>
    <col min="3" max="3" width="11.5" hidden="1" customWidth="1"/>
    <col min="4" max="4" width="2.83203125" hidden="1" customWidth="1"/>
    <col min="5" max="5" width="3" hidden="1" customWidth="1"/>
    <col min="6" max="7" width="2.83203125" hidden="1" customWidth="1"/>
    <col min="8" max="8" width="6.6640625" hidden="1" customWidth="1"/>
    <col min="9" max="9" width="2.83203125" customWidth="1"/>
    <col min="10" max="10" width="3.33203125" customWidth="1"/>
    <col min="11" max="11" width="2.6640625" customWidth="1"/>
    <col min="12" max="12" width="5.5" customWidth="1"/>
    <col min="13" max="13" width="2.6640625" customWidth="1"/>
    <col min="14" max="14" width="11.5" hidden="1" customWidth="1"/>
    <col min="15" max="18" width="3.33203125" hidden="1" customWidth="1"/>
    <col min="19" max="19" width="6.6640625" hidden="1" customWidth="1"/>
    <col min="20" max="21" width="3.33203125" customWidth="1"/>
    <col min="22" max="22" width="2.6640625" customWidth="1"/>
    <col min="23" max="23" width="5.5" customWidth="1"/>
    <col min="24" max="24" width="2.6640625" customWidth="1"/>
    <col min="25" max="25" width="11.1640625" hidden="1" customWidth="1"/>
    <col min="26" max="29" width="3.33203125" hidden="1" customWidth="1"/>
    <col min="30" max="30" width="6.6640625" hidden="1" customWidth="1"/>
    <col min="31" max="32" width="3.33203125" customWidth="1"/>
    <col min="33" max="33" width="2.6640625" customWidth="1"/>
    <col min="34" max="34" width="5.5" customWidth="1"/>
    <col min="35" max="35" width="2.6640625" customWidth="1"/>
    <col min="36" max="36" width="11" hidden="1" customWidth="1"/>
    <col min="37" max="40" width="3.33203125" hidden="1" customWidth="1"/>
    <col min="41" max="41" width="6.6640625" hidden="1" customWidth="1"/>
    <col min="42" max="43" width="3.33203125" customWidth="1"/>
    <col min="44" max="44" width="2.6640625" customWidth="1"/>
    <col min="45" max="45" width="5.5" customWidth="1"/>
    <col min="46" max="46" width="2.6640625" customWidth="1"/>
    <col min="47" max="47" width="10.6640625" hidden="1" customWidth="1"/>
    <col min="48" max="51" width="3.33203125" hidden="1" customWidth="1"/>
    <col min="52" max="52" width="6.6640625" hidden="1" customWidth="1"/>
    <col min="53" max="54" width="3.33203125" customWidth="1"/>
    <col min="55" max="55" width="2.6640625" customWidth="1"/>
    <col min="56" max="56" width="5.5" customWidth="1"/>
    <col min="57" max="57" width="2.6640625" customWidth="1"/>
    <col min="58" max="58" width="10.1640625" hidden="1" customWidth="1"/>
    <col min="59" max="62" width="3.33203125" hidden="1" customWidth="1"/>
    <col min="63" max="63" width="6.6640625" hidden="1" customWidth="1"/>
    <col min="64" max="65" width="3.33203125" customWidth="1"/>
    <col min="66" max="66" width="2.6640625" customWidth="1"/>
    <col min="67" max="67" width="5.5" customWidth="1"/>
    <col min="68" max="68" width="2.6640625" customWidth="1"/>
    <col min="69" max="69" width="11" hidden="1" customWidth="1"/>
    <col min="70" max="73" width="3.33203125" hidden="1" customWidth="1"/>
    <col min="74" max="74" width="6.6640625" hidden="1" customWidth="1"/>
    <col min="75" max="76" width="3.33203125" customWidth="1"/>
    <col min="77" max="77" width="2.6640625" customWidth="1"/>
    <col min="78" max="78" width="5.5" customWidth="1"/>
    <col min="79" max="79" width="2.6640625" customWidth="1"/>
    <col min="80" max="80" width="11" hidden="1" customWidth="1"/>
    <col min="81" max="84" width="3.33203125" hidden="1" customWidth="1"/>
    <col min="85" max="85" width="6.6640625" hidden="1" customWidth="1"/>
    <col min="86" max="87" width="3.33203125" customWidth="1"/>
    <col min="88" max="88" width="2.6640625" customWidth="1"/>
    <col min="89" max="89" width="5.5" customWidth="1"/>
    <col min="90" max="90" width="2.6640625" customWidth="1"/>
    <col min="91" max="91" width="11" hidden="1" customWidth="1"/>
    <col min="92" max="95" width="3.33203125" hidden="1" customWidth="1"/>
    <col min="96" max="96" width="6.6640625" hidden="1" customWidth="1"/>
    <col min="97" max="98" width="3.33203125" customWidth="1"/>
    <col min="99" max="99" width="2.6640625" customWidth="1"/>
    <col min="100" max="100" width="5.5" customWidth="1"/>
    <col min="101" max="101" width="2.6640625" customWidth="1"/>
    <col min="102" max="102" width="11.1640625" hidden="1" customWidth="1"/>
    <col min="103" max="106" width="3.33203125" hidden="1" customWidth="1"/>
    <col min="107" max="107" width="6.6640625" hidden="1" customWidth="1"/>
    <col min="108" max="109" width="3.33203125" customWidth="1"/>
    <col min="110" max="110" width="2.6640625" customWidth="1"/>
    <col min="111" max="111" width="5.5" customWidth="1"/>
    <col min="112" max="112" width="2.6640625" customWidth="1"/>
    <col min="113" max="113" width="11.5" hidden="1" customWidth="1"/>
    <col min="114" max="117" width="3.33203125" hidden="1" customWidth="1"/>
    <col min="118" max="118" width="6.6640625" hidden="1" customWidth="1"/>
    <col min="119" max="120" width="3.33203125" customWidth="1"/>
    <col min="121" max="121" width="2.6640625" customWidth="1"/>
    <col min="122" max="122" width="5.5" customWidth="1"/>
    <col min="123" max="123" width="2.6640625" customWidth="1"/>
    <col min="124" max="124" width="11.1640625" hidden="1" customWidth="1"/>
    <col min="125" max="128" width="3.33203125" hidden="1" customWidth="1"/>
    <col min="129" max="129" width="6.6640625" hidden="1" customWidth="1"/>
    <col min="130" max="131" width="3.33203125" customWidth="1"/>
    <col min="132" max="132" width="2.6640625" customWidth="1"/>
    <col min="133" max="133" width="5.5" customWidth="1"/>
    <col min="134" max="134" width="2.6640625" customWidth="1"/>
    <col min="135" max="135" width="11.1640625" hidden="1" customWidth="1"/>
    <col min="136" max="139" width="3.33203125" hidden="1" customWidth="1"/>
    <col min="140" max="140" width="6.6640625" hidden="1" customWidth="1"/>
    <col min="141" max="142" width="3.33203125" customWidth="1"/>
    <col min="143" max="143" width="2.6640625" customWidth="1"/>
    <col min="144" max="144" width="5.5" customWidth="1"/>
    <col min="145" max="145" width="2.6640625" customWidth="1"/>
    <col min="146" max="146" width="3.83203125" customWidth="1"/>
  </cols>
  <sheetData>
    <row r="1" spans="2:145" ht="52">
      <c r="B1" s="3"/>
      <c r="D1" s="1" t="s">
        <v>21</v>
      </c>
      <c r="E1" s="1" t="s">
        <v>22</v>
      </c>
      <c r="F1" s="1" t="s">
        <v>23</v>
      </c>
      <c r="G1" s="1" t="s">
        <v>25</v>
      </c>
      <c r="H1" s="1" t="s">
        <v>50</v>
      </c>
      <c r="I1" s="3" t="str">
        <f>"Ferienregelung " &amp; Konfiguration!$B$2 &amp; " für " &amp; Konfiguration!$B$1</f>
        <v>Ferienregelung 2018 für Lukas</v>
      </c>
      <c r="J1" s="11"/>
      <c r="K1" s="11"/>
      <c r="L1" s="2"/>
      <c r="M1" s="2"/>
      <c r="N1" s="3"/>
      <c r="O1" s="2"/>
      <c r="P1" s="2"/>
      <c r="Q1" s="2"/>
      <c r="R1" s="28"/>
      <c r="S1" s="55"/>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3"/>
      <c r="DJ1" s="3"/>
      <c r="DK1" s="3"/>
      <c r="DL1" s="3"/>
      <c r="DM1" s="3"/>
      <c r="DN1" s="3"/>
      <c r="DO1" s="3"/>
      <c r="DP1" s="3"/>
      <c r="DQ1" s="3"/>
      <c r="DR1" s="3"/>
      <c r="DS1" s="3"/>
      <c r="DT1" s="3"/>
      <c r="DU1" s="3"/>
      <c r="DV1" s="3"/>
      <c r="DW1" s="3"/>
      <c r="DX1" s="3"/>
      <c r="DY1" s="3"/>
      <c r="DZ1" s="3"/>
      <c r="EA1" s="3"/>
      <c r="EB1" s="4"/>
      <c r="EC1" s="3"/>
      <c r="ED1" s="3"/>
      <c r="EE1" s="3"/>
      <c r="EF1" s="3"/>
      <c r="EG1" s="3"/>
      <c r="EH1" s="3"/>
      <c r="EI1" s="3"/>
      <c r="EJ1" s="3"/>
      <c r="EK1" s="3"/>
      <c r="EL1" s="3"/>
      <c r="EM1" s="4"/>
      <c r="EN1" s="3"/>
      <c r="EO1" s="3"/>
    </row>
    <row r="2" spans="2:145" s="1" customFormat="1" ht="24" customHeight="1">
      <c r="B2" s="52"/>
      <c r="C2" s="125" t="s">
        <v>0</v>
      </c>
      <c r="D2" s="125"/>
      <c r="E2" s="125"/>
      <c r="F2" s="125"/>
      <c r="G2" s="125"/>
      <c r="H2" s="125"/>
      <c r="I2" s="125"/>
      <c r="J2" s="125"/>
      <c r="K2" s="125"/>
      <c r="L2" s="125"/>
      <c r="M2" s="126"/>
      <c r="N2" s="127" t="s">
        <v>1</v>
      </c>
      <c r="O2" s="125"/>
      <c r="P2" s="125"/>
      <c r="Q2" s="125"/>
      <c r="R2" s="125"/>
      <c r="S2" s="125"/>
      <c r="T2" s="125"/>
      <c r="U2" s="125"/>
      <c r="V2" s="125"/>
      <c r="W2" s="125"/>
      <c r="X2" s="126"/>
      <c r="Y2" s="121" t="s">
        <v>2</v>
      </c>
      <c r="Z2" s="121"/>
      <c r="AA2" s="121"/>
      <c r="AB2" s="121"/>
      <c r="AC2" s="121"/>
      <c r="AD2" s="121"/>
      <c r="AE2" s="121"/>
      <c r="AF2" s="121"/>
      <c r="AG2" s="121"/>
      <c r="AH2" s="121"/>
      <c r="AI2" s="121"/>
      <c r="AJ2" s="121" t="s">
        <v>3</v>
      </c>
      <c r="AK2" s="121"/>
      <c r="AL2" s="121"/>
      <c r="AM2" s="121"/>
      <c r="AN2" s="121"/>
      <c r="AO2" s="121"/>
      <c r="AP2" s="121"/>
      <c r="AQ2" s="121"/>
      <c r="AR2" s="121"/>
      <c r="AS2" s="121"/>
      <c r="AT2" s="121"/>
      <c r="AU2" s="121" t="s">
        <v>4</v>
      </c>
      <c r="AV2" s="121"/>
      <c r="AW2" s="121"/>
      <c r="AX2" s="121"/>
      <c r="AY2" s="121"/>
      <c r="AZ2" s="121"/>
      <c r="BA2" s="121"/>
      <c r="BB2" s="121"/>
      <c r="BC2" s="121"/>
      <c r="BD2" s="121"/>
      <c r="BE2" s="121"/>
      <c r="BF2" s="121" t="s">
        <v>5</v>
      </c>
      <c r="BG2" s="121"/>
      <c r="BH2" s="121"/>
      <c r="BI2" s="121"/>
      <c r="BJ2" s="121"/>
      <c r="BK2" s="121"/>
      <c r="BL2" s="121"/>
      <c r="BM2" s="121"/>
      <c r="BN2" s="121"/>
      <c r="BO2" s="121"/>
      <c r="BP2" s="121"/>
      <c r="BQ2" s="121" t="s">
        <v>6</v>
      </c>
      <c r="BR2" s="121"/>
      <c r="BS2" s="121"/>
      <c r="BT2" s="121"/>
      <c r="BU2" s="121"/>
      <c r="BV2" s="121"/>
      <c r="BW2" s="121"/>
      <c r="BX2" s="121"/>
      <c r="BY2" s="121"/>
      <c r="BZ2" s="121"/>
      <c r="CA2" s="121"/>
      <c r="CB2" s="121" t="s">
        <v>7</v>
      </c>
      <c r="CC2" s="121"/>
      <c r="CD2" s="121"/>
      <c r="CE2" s="121"/>
      <c r="CF2" s="121"/>
      <c r="CG2" s="121"/>
      <c r="CH2" s="121"/>
      <c r="CI2" s="121"/>
      <c r="CJ2" s="121"/>
      <c r="CK2" s="121"/>
      <c r="CL2" s="121"/>
      <c r="CM2" s="121" t="s">
        <v>8</v>
      </c>
      <c r="CN2" s="121"/>
      <c r="CO2" s="121"/>
      <c r="CP2" s="121"/>
      <c r="CQ2" s="121"/>
      <c r="CR2" s="121"/>
      <c r="CS2" s="121"/>
      <c r="CT2" s="121"/>
      <c r="CU2" s="121"/>
      <c r="CV2" s="121"/>
      <c r="CW2" s="121"/>
      <c r="CX2" s="121" t="s">
        <v>9</v>
      </c>
      <c r="CY2" s="121"/>
      <c r="CZ2" s="121"/>
      <c r="DA2" s="121"/>
      <c r="DB2" s="121"/>
      <c r="DC2" s="121"/>
      <c r="DD2" s="121"/>
      <c r="DE2" s="121"/>
      <c r="DF2" s="121"/>
      <c r="DG2" s="121"/>
      <c r="DH2" s="121"/>
      <c r="DI2" s="121" t="s">
        <v>10</v>
      </c>
      <c r="DJ2" s="121"/>
      <c r="DK2" s="121"/>
      <c r="DL2" s="121"/>
      <c r="DM2" s="121"/>
      <c r="DN2" s="121"/>
      <c r="DO2" s="121"/>
      <c r="DP2" s="121"/>
      <c r="DQ2" s="121"/>
      <c r="DR2" s="121"/>
      <c r="DS2" s="121"/>
      <c r="DT2" s="121" t="s">
        <v>11</v>
      </c>
      <c r="DU2" s="121"/>
      <c r="DV2" s="121"/>
      <c r="DW2" s="121"/>
      <c r="DX2" s="121"/>
      <c r="DY2" s="121"/>
      <c r="DZ2" s="121"/>
      <c r="EA2" s="121"/>
      <c r="EB2" s="121"/>
      <c r="EC2" s="121"/>
      <c r="ED2" s="121"/>
      <c r="EE2" s="124">
        <f>EE3</f>
        <v>43466</v>
      </c>
      <c r="EF2" s="124"/>
      <c r="EG2" s="124"/>
      <c r="EH2" s="124"/>
      <c r="EI2" s="124"/>
      <c r="EJ2" s="124"/>
      <c r="EK2" s="124"/>
      <c r="EL2" s="124"/>
      <c r="EM2" s="121"/>
      <c r="EN2" s="121"/>
      <c r="EO2" s="121"/>
    </row>
    <row r="3" spans="2:145" s="1" customFormat="1" ht="21" customHeight="1">
      <c r="B3" s="51">
        <v>1</v>
      </c>
      <c r="C3" s="27">
        <f>DATE(Konfiguration!$B$2,1,$B3)</f>
        <v>43101</v>
      </c>
      <c r="D3" s="28">
        <f>IF(OR(WEEKDAY(C3)=1,WEEKDAY(C3)=7),1,0)</f>
        <v>0</v>
      </c>
      <c r="E3" s="28">
        <f>IF(ISNA(VLOOKUP(C3,Ferien!$A:$A,1,FALSE))=TRUE,0,1)</f>
        <v>1</v>
      </c>
      <c r="F3" s="28">
        <f>IF(ISNA(VLOOKUP(C3,Feiertage!$A:$A,1,FALSE))=TRUE,0,1)</f>
        <v>1</v>
      </c>
      <c r="G3" s="28">
        <f>IF(ISNA(VLOOKUP(C3,Termine!$A:$A,1,FALSE))=TRUE,0,1)</f>
        <v>0</v>
      </c>
      <c r="H3" s="28" t="str">
        <f>IF(ISNA(VLOOKUP(C3,Aufenthalte!$A:$B,2,FALSE))=TRUE,"",VLOOKUP(C3,Aufenthalte!$A:$B,2,FALSE))</f>
        <v>Mama</v>
      </c>
      <c r="I3" s="25">
        <f>DAY(C3)</f>
        <v>1</v>
      </c>
      <c r="J3" s="26">
        <f t="shared" ref="J3:J33" si="0">C3</f>
        <v>43101</v>
      </c>
      <c r="K3" s="24" t="str">
        <f>IF(G3=1,"ü","")</f>
        <v/>
      </c>
      <c r="L3" s="54" t="str">
        <f>IF(ISNA(VLOOKUP(C3,Aufenthalte!$A:$G,7,FALSE))=TRUE,"",VLOOKUP(C3,Aufenthalte!$A:$G,7,FALSE))</f>
        <v xml:space="preserve">
</v>
      </c>
      <c r="M3" s="7">
        <f t="shared" ref="M3:M5" si="1">IF(TEXT(C3,"TTT")="Mo",WEEKNUM(C3),"")</f>
        <v>1</v>
      </c>
      <c r="N3" s="27">
        <f>DATE(Konfiguration!$B$2,2,$B3)</f>
        <v>43132</v>
      </c>
      <c r="O3" s="28">
        <f>IF(OR(WEEKDAY(N3)=1,WEEKDAY(N3)=7),1,0)</f>
        <v>0</v>
      </c>
      <c r="P3" s="28">
        <f>IF(ISNA(VLOOKUP(N3,Ferien!$A:$A,1,FALSE))=TRUE,0,1)</f>
        <v>0</v>
      </c>
      <c r="Q3" s="28">
        <f>IF(ISNA(VLOOKUP(N3,Feiertage!$A:$A,1,FALSE))=TRUE,0,1)</f>
        <v>0</v>
      </c>
      <c r="R3" s="28">
        <f>IF(ISNA(VLOOKUP(N3,Termine!$A:$A,1,FALSE))=TRUE,0,1)</f>
        <v>0</v>
      </c>
      <c r="S3" s="28" t="str">
        <f>IF(ISNA(VLOOKUP(N3,Aufenthalte!$A:$B,2,FALSE))=TRUE,"",VLOOKUP(N3,Aufenthalte!$A:$B,2,FALSE))</f>
        <v>Mama</v>
      </c>
      <c r="T3" s="25">
        <f>DAY(N3)</f>
        <v>1</v>
      </c>
      <c r="U3" s="26">
        <f>N3</f>
        <v>43132</v>
      </c>
      <c r="V3" s="24" t="str">
        <f t="shared" ref="V3:V33" si="2">IF(R3=1,"ü","")</f>
        <v/>
      </c>
      <c r="W3" s="54" t="str">
        <f>IF(ISNA(VLOOKUP(N3,Aufenthalte!$A:$G,7,FALSE))=TRUE,"",VLOOKUP(N3,Aufenthalte!$A:$G,7,FALSE))</f>
        <v xml:space="preserve">
</v>
      </c>
      <c r="X3" s="7" t="str">
        <f t="shared" ref="X3" si="3">IF(TEXT(N3,"TTT")="Mo",WEEKNUM(N3),"")</f>
        <v/>
      </c>
      <c r="Y3" s="27">
        <f>DATE(Konfiguration!$B$2,3,$B3)</f>
        <v>43160</v>
      </c>
      <c r="Z3" s="28">
        <f>IF(OR(WEEKDAY(Y3)=1,WEEKDAY(Y3)=7),1,0)</f>
        <v>0</v>
      </c>
      <c r="AA3" s="28">
        <f>IF(ISNA(VLOOKUP(Y3,Ferien!$A:$A,1,FALSE))=TRUE,0,1)</f>
        <v>0</v>
      </c>
      <c r="AB3" s="28">
        <f>IF(ISNA(VLOOKUP(Y3,Feiertage!$A:$A,1,FALSE))=TRUE,0,1)</f>
        <v>0</v>
      </c>
      <c r="AC3" s="28">
        <f>IF(ISNA(VLOOKUP(Y3,Termine!$A:$A,1,FALSE))=TRUE,0,1)</f>
        <v>0</v>
      </c>
      <c r="AD3" s="28" t="str">
        <f>IF(ISNA(VLOOKUP(Y3,Aufenthalte!$A:$B,2,FALSE))=TRUE,"",VLOOKUP(Y3,Aufenthalte!$A:$B,2,FALSE))</f>
        <v>Mama</v>
      </c>
      <c r="AE3" s="25">
        <f>DAY(Y3)</f>
        <v>1</v>
      </c>
      <c r="AF3" s="26">
        <f>Y3</f>
        <v>43160</v>
      </c>
      <c r="AG3" s="24" t="str">
        <f>IF(AC3=1,"ü","")</f>
        <v/>
      </c>
      <c r="AH3" s="54" t="str">
        <f>IF(ISNA(VLOOKUP(Y3,Aufenthalte!$A:$G,7,FALSE))=TRUE,"",VLOOKUP(Y3,Aufenthalte!$A:$G,7,FALSE))</f>
        <v xml:space="preserve">
</v>
      </c>
      <c r="AI3" s="7" t="str">
        <f t="shared" ref="AI3" si="4">IF(TEXT(Y3,"TTT")="Mo",WEEKNUM(Y3),"")</f>
        <v/>
      </c>
      <c r="AJ3" s="27">
        <f>DATE(Konfiguration!$B$2,4,$B3)</f>
        <v>43191</v>
      </c>
      <c r="AK3" s="28">
        <f>IF(OR(WEEKDAY(AJ3)=1,WEEKDAY(AJ3)=7),1,0)</f>
        <v>1</v>
      </c>
      <c r="AL3" s="28">
        <f>IF(ISNA(VLOOKUP(AJ3,Ferien!$A:$A,1,FALSE))=TRUE,0,1)</f>
        <v>1</v>
      </c>
      <c r="AM3" s="28">
        <f>IF(ISNA(VLOOKUP(AJ3,Feiertage!$A:$A,1,FALSE))=TRUE,0,1)</f>
        <v>0</v>
      </c>
      <c r="AN3" s="28">
        <f>IF(ISNA(VLOOKUP(AJ3,Termine!$A:$A,1,FALSE))=TRUE,0,1)</f>
        <v>0</v>
      </c>
      <c r="AO3" s="28" t="str">
        <f>IF(ISNA(VLOOKUP(AJ3,Aufenthalte!$A:$B,2,FALSE))=TRUE,"",VLOOKUP(AJ3,Aufenthalte!$A:$B,2,FALSE))</f>
        <v>Mama</v>
      </c>
      <c r="AP3" s="25">
        <f t="shared" ref="AP3:AP32" si="5">DAY(AJ3)</f>
        <v>1</v>
      </c>
      <c r="AQ3" s="26">
        <f t="shared" ref="AQ3:AQ32" si="6">AJ3</f>
        <v>43191</v>
      </c>
      <c r="AR3" s="24" t="str">
        <f t="shared" ref="AR3:AR33" si="7">IF(AN3=1,"ü","")</f>
        <v/>
      </c>
      <c r="AS3" s="54" t="str">
        <f>IF(ISNA(VLOOKUP(AJ3,Aufenthalte!$A:$G,7,FALSE))=TRUE,"",VLOOKUP(AJ3,Aufenthalte!$A:$G,7,FALSE))</f>
        <v xml:space="preserve">
</v>
      </c>
      <c r="AT3" s="7" t="str">
        <f t="shared" ref="AT3" si="8">IF(TEXT(AJ3,"TTT")="Mo",WEEKNUM(AJ3),"")</f>
        <v/>
      </c>
      <c r="AU3" s="27">
        <f>DATE(Konfiguration!$B$2,5,$B3)</f>
        <v>43221</v>
      </c>
      <c r="AV3" s="28">
        <f>IF(OR(WEEKDAY(AU3)=1,WEEKDAY(AU3)=7),1,0)</f>
        <v>0</v>
      </c>
      <c r="AW3" s="28">
        <f>IF(ISNA(VLOOKUP(AU3,Ferien!$A:$A,1,FALSE))=TRUE,0,1)</f>
        <v>0</v>
      </c>
      <c r="AX3" s="28">
        <f>IF(ISNA(VLOOKUP(AU3,Feiertage!$A:$A,1,FALSE))=TRUE,0,1)</f>
        <v>1</v>
      </c>
      <c r="AY3" s="28">
        <f>IF(ISNA(VLOOKUP(AU3,Termine!$A:$A,1,FALSE))=TRUE,0,1)</f>
        <v>0</v>
      </c>
      <c r="AZ3" s="28" t="str">
        <f>IF(ISNA(VLOOKUP(AU3,Aufenthalte!$A:$B,2,FALSE))=TRUE,"",VLOOKUP(AU3,Aufenthalte!$A:$B,2,FALSE))</f>
        <v>Mama</v>
      </c>
      <c r="BA3" s="25">
        <f t="shared" ref="BA3:BA33" si="9">DAY(AU3)</f>
        <v>1</v>
      </c>
      <c r="BB3" s="26">
        <f t="shared" ref="BB3:BB33" si="10">AU3</f>
        <v>43221</v>
      </c>
      <c r="BC3" s="24" t="str">
        <f t="shared" ref="BC3:BC33" si="11">IF(AY3=1,"ü","")</f>
        <v/>
      </c>
      <c r="BD3" s="54" t="str">
        <f>IF(ISNA(VLOOKUP(AU3,Aufenthalte!$A:$G,7,FALSE))=TRUE,"",VLOOKUP(AU3,Aufenthalte!$A:$G,7,FALSE))</f>
        <v xml:space="preserve">
</v>
      </c>
      <c r="BE3" s="7" t="str">
        <f t="shared" ref="BE3" si="12">IF(TEXT(AU3,"TTT")="Mo",WEEKNUM(AU3),"")</f>
        <v/>
      </c>
      <c r="BF3" s="27">
        <f>DATE(Konfiguration!$B$2,6,$B3)</f>
        <v>43252</v>
      </c>
      <c r="BG3" s="28">
        <f>IF(OR(WEEKDAY(BF3)=1,WEEKDAY(BF3)=7),1,0)</f>
        <v>0</v>
      </c>
      <c r="BH3" s="28">
        <f>IF(ISNA(VLOOKUP(BF3,Ferien!$A:$A,1,FALSE))=TRUE,0,1)</f>
        <v>1</v>
      </c>
      <c r="BI3" s="28">
        <f>IF(ISNA(VLOOKUP(BF3,Feiertage!$A:$A,1,FALSE))=TRUE,0,1)</f>
        <v>0</v>
      </c>
      <c r="BJ3" s="28">
        <f>IF(ISNA(VLOOKUP(BF3,Termine!$A:$A,1,FALSE))=TRUE,0,1)</f>
        <v>0</v>
      </c>
      <c r="BK3" s="28" t="str">
        <f>IF(ISNA(VLOOKUP(BF3,Aufenthalte!$A:$B,2,FALSE))=TRUE,"",VLOOKUP(BF3,Aufenthalte!$A:$B,2,FALSE))</f>
        <v>Mama</v>
      </c>
      <c r="BL3" s="25">
        <f t="shared" ref="BL3:BL32" si="13">DAY(BF3)</f>
        <v>1</v>
      </c>
      <c r="BM3" s="26">
        <f t="shared" ref="BM3:BM32" si="14">BF3</f>
        <v>43252</v>
      </c>
      <c r="BN3" s="24" t="str">
        <f t="shared" ref="BN3:BN32" si="15">IF(BJ3=1,"ü","")</f>
        <v/>
      </c>
      <c r="BO3" s="54" t="str">
        <f>IF(ISNA(VLOOKUP(BF3,Aufenthalte!$A:$G,7,FALSE))=TRUE,"",VLOOKUP(BF3,Aufenthalte!$A:$G,7,FALSE))</f>
        <v xml:space="preserve">
</v>
      </c>
      <c r="BP3" s="7" t="str">
        <f t="shared" ref="BP3" si="16">IF(TEXT(BF3,"TTT")="Mo",WEEKNUM(BF3),"")</f>
        <v/>
      </c>
      <c r="BQ3" s="27">
        <f>DATE(Konfiguration!$B$2,7,$B3)</f>
        <v>43282</v>
      </c>
      <c r="BR3" s="28">
        <f>IF(OR(WEEKDAY(BQ3)=1,WEEKDAY(BQ3)=7),1,0)</f>
        <v>1</v>
      </c>
      <c r="BS3" s="28">
        <f>IF(ISNA(VLOOKUP(BQ3,Ferien!$A:$A,1,FALSE))=TRUE,0,1)</f>
        <v>1</v>
      </c>
      <c r="BT3" s="28">
        <f>IF(ISNA(VLOOKUP(BQ3,Feiertage!$A:$A,1,FALSE))=TRUE,0,1)</f>
        <v>0</v>
      </c>
      <c r="BU3" s="28">
        <f>IF(ISNA(VLOOKUP(BQ3,Termine!$A:$A,1,FALSE))=TRUE,0,1)</f>
        <v>0</v>
      </c>
      <c r="BV3" s="28" t="str">
        <f>IF(ISNA(VLOOKUP(BQ3,Aufenthalte!$A:$B,2,FALSE))=TRUE,"",VLOOKUP(BQ3,Aufenthalte!$A:$B,2,FALSE))</f>
        <v>Mama</v>
      </c>
      <c r="BW3" s="25">
        <f t="shared" ref="BW3:BW33" si="17">DAY(BQ3)</f>
        <v>1</v>
      </c>
      <c r="BX3" s="26">
        <f t="shared" ref="BX3:BX33" si="18">BQ3</f>
        <v>43282</v>
      </c>
      <c r="BY3" s="24" t="str">
        <f t="shared" ref="BY3:BY33" si="19">IF(BU3=1,"ü","")</f>
        <v/>
      </c>
      <c r="BZ3" s="54" t="str">
        <f>IF(ISNA(VLOOKUP(BQ3,Aufenthalte!$A:$G,7,FALSE))=TRUE,"",VLOOKUP(BQ3,Aufenthalte!$A:$G,7,FALSE))</f>
        <v xml:space="preserve">
</v>
      </c>
      <c r="CA3" s="7" t="str">
        <f t="shared" ref="CA3" si="20">IF(TEXT(BQ3,"TTT")="Mo",WEEKNUM(BQ3),"")</f>
        <v/>
      </c>
      <c r="CB3" s="27">
        <f>DATE(Konfiguration!$B$2,8,$B3)</f>
        <v>43313</v>
      </c>
      <c r="CC3" s="28">
        <f>IF(OR(WEEKDAY(CB3)=1,WEEKDAY(CB3)=7),1,0)</f>
        <v>0</v>
      </c>
      <c r="CD3" s="28">
        <f>IF(ISNA(VLOOKUP(CB3,Ferien!$A:$A,1,FALSE))=TRUE,0,1)</f>
        <v>1</v>
      </c>
      <c r="CE3" s="28">
        <f>IF(ISNA(VLOOKUP(CB3,Feiertage!$A:$A,1,FALSE))=TRUE,0,1)</f>
        <v>0</v>
      </c>
      <c r="CF3" s="28">
        <f>IF(ISNA(VLOOKUP(CB3,Termine!$A:$A,1,FALSE))=TRUE,0,1)</f>
        <v>0</v>
      </c>
      <c r="CG3" s="28" t="str">
        <f>IF(ISNA(VLOOKUP(CB3,Aufenthalte!$A:$B,2,FALSE))=TRUE,"",VLOOKUP(CB3,Aufenthalte!$A:$B,2,FALSE))</f>
        <v>Mama</v>
      </c>
      <c r="CH3" s="25">
        <f t="shared" ref="CH3:CH33" si="21">DAY(CB3)</f>
        <v>1</v>
      </c>
      <c r="CI3" s="26">
        <f t="shared" ref="CI3:CI33" si="22">CB3</f>
        <v>43313</v>
      </c>
      <c r="CJ3" s="24" t="str">
        <f t="shared" ref="CJ3:CJ33" si="23">IF(CF3=1,"ü","")</f>
        <v/>
      </c>
      <c r="CK3" s="54" t="str">
        <f>IF(ISNA(VLOOKUP(CB3,Aufenthalte!$A:$G,7,FALSE))=TRUE,"",VLOOKUP(CB3,Aufenthalte!$A:$G,7,FALSE))</f>
        <v xml:space="preserve">
</v>
      </c>
      <c r="CL3" s="7" t="str">
        <f t="shared" ref="CL3" si="24">IF(TEXT(CB3,"TTT")="Mo",WEEKNUM(CB3),"")</f>
        <v/>
      </c>
      <c r="CM3" s="27">
        <f>DATE(Konfiguration!$B$2,9,$B3)</f>
        <v>43344</v>
      </c>
      <c r="CN3" s="28">
        <f>IF(OR(WEEKDAY(CM3)=1,WEEKDAY(CM3)=7),1,0)</f>
        <v>1</v>
      </c>
      <c r="CO3" s="28">
        <f>IF(ISNA(VLOOKUP(CM3,Ferien!$A:$A,1,FALSE))=TRUE,0,1)</f>
        <v>0</v>
      </c>
      <c r="CP3" s="28">
        <f>IF(ISNA(VLOOKUP(CM3,Feiertage!$A:$A,1,FALSE))=TRUE,0,1)</f>
        <v>0</v>
      </c>
      <c r="CQ3" s="28">
        <f>IF(ISNA(VLOOKUP(CM3,Termine!$A:$A,1,FALSE))=TRUE,0,1)</f>
        <v>0</v>
      </c>
      <c r="CR3" s="28" t="str">
        <f>IF(ISNA(VLOOKUP(CM3,Aufenthalte!$A:$B,2,FALSE))=TRUE,"",VLOOKUP(CM3,Aufenthalte!$A:$B,2,FALSE))</f>
        <v>Mama</v>
      </c>
      <c r="CS3" s="25">
        <f t="shared" ref="CS3:CS32" si="25">DAY(CM3)</f>
        <v>1</v>
      </c>
      <c r="CT3" s="26">
        <f t="shared" ref="CT3:CT32" si="26">CM3</f>
        <v>43344</v>
      </c>
      <c r="CU3" s="24" t="str">
        <f t="shared" ref="CU3:CU32" si="27">IF(CQ3=1,"ü","")</f>
        <v/>
      </c>
      <c r="CV3" s="54" t="str">
        <f>IF(ISNA(VLOOKUP(CM3,Aufenthalte!$A:$G,7,FALSE))=TRUE,"",VLOOKUP(CM3,Aufenthalte!$A:$G,7,FALSE))</f>
        <v xml:space="preserve">
</v>
      </c>
      <c r="CW3" s="7" t="str">
        <f t="shared" ref="CW3" si="28">IF(TEXT(CM3,"TTT")="Mo",WEEKNUM(CM3),"")</f>
        <v/>
      </c>
      <c r="CX3" s="27">
        <f>DATE(Konfiguration!$B$2,10,$B3)</f>
        <v>43374</v>
      </c>
      <c r="CY3" s="28">
        <f>IF(OR(WEEKDAY(CX3)=1,WEEKDAY(CX3)=7),1,0)</f>
        <v>0</v>
      </c>
      <c r="CZ3" s="28">
        <f>IF(ISNA(VLOOKUP(CX3,Ferien!$A:$A,1,FALSE))=TRUE,0,1)</f>
        <v>1</v>
      </c>
      <c r="DA3" s="28">
        <f>IF(ISNA(VLOOKUP(CX3,Feiertage!$A:$A,1,FALSE))=TRUE,0,1)</f>
        <v>0</v>
      </c>
      <c r="DB3" s="28">
        <f>IF(ISNA(VLOOKUP(CX3,Termine!$A:$A,1,FALSE))=TRUE,0,1)</f>
        <v>0</v>
      </c>
      <c r="DC3" s="28" t="str">
        <f>IF(ISNA(VLOOKUP(CX3,Aufenthalte!$A:$B,2,FALSE))=TRUE,"",VLOOKUP(CX3,Aufenthalte!$A:$B,2,FALSE))</f>
        <v>Mama</v>
      </c>
      <c r="DD3" s="25">
        <f t="shared" ref="DD3:DD33" si="29">DAY(CX3)</f>
        <v>1</v>
      </c>
      <c r="DE3" s="26">
        <f t="shared" ref="DE3:DE33" si="30">CX3</f>
        <v>43374</v>
      </c>
      <c r="DF3" s="24" t="str">
        <f t="shared" ref="DF3:DF33" si="31">IF(DB3=1,"ü","")</f>
        <v/>
      </c>
      <c r="DG3" s="54" t="str">
        <f>IF(ISNA(VLOOKUP(CX3,Aufenthalte!$A:$G,7,FALSE))=TRUE,"",VLOOKUP(CX3,Aufenthalte!$A:$G,7,FALSE))</f>
        <v xml:space="preserve">
</v>
      </c>
      <c r="DH3" s="7">
        <f t="shared" ref="DH3" si="32">IF(TEXT(CX3,"TTT")="Mo",WEEKNUM(CX3),"")</f>
        <v>40</v>
      </c>
      <c r="DI3" s="27">
        <f>DATE(Konfiguration!$B$2,11,$B3)</f>
        <v>43405</v>
      </c>
      <c r="DJ3" s="28">
        <f>IF(OR(WEEKDAY(DI3)=1,WEEKDAY(DI3)=7),1,0)</f>
        <v>0</v>
      </c>
      <c r="DK3" s="28">
        <f>IF(ISNA(VLOOKUP(DI3,Ferien!$A:$A,1,FALSE))=TRUE,0,1)</f>
        <v>0</v>
      </c>
      <c r="DL3" s="28">
        <f>IF(ISNA(VLOOKUP(DI3,Feiertage!$A:$A,1,FALSE))=TRUE,0,1)</f>
        <v>1</v>
      </c>
      <c r="DM3" s="28">
        <f>IF(ISNA(VLOOKUP(DI3,Termine!$A:$A,1,FALSE))=TRUE,0,1)</f>
        <v>0</v>
      </c>
      <c r="DN3" s="28" t="str">
        <f>IF(ISNA(VLOOKUP(DI3,Aufenthalte!$A:$B,2,FALSE))=TRUE,"",VLOOKUP(DI3,Aufenthalte!$A:$B,2,FALSE))</f>
        <v>Mama</v>
      </c>
      <c r="DO3" s="25">
        <f t="shared" ref="DO3:DO32" si="33">DAY(DI3)</f>
        <v>1</v>
      </c>
      <c r="DP3" s="26">
        <f t="shared" ref="DP3:DP32" si="34">DI3</f>
        <v>43405</v>
      </c>
      <c r="DQ3" s="24" t="str">
        <f t="shared" ref="DQ3:DQ32" si="35">IF(DM3=1,"ü","")</f>
        <v/>
      </c>
      <c r="DR3" s="54" t="str">
        <f>IF(ISNA(VLOOKUP(DI3,Aufenthalte!$A:$G,7,FALSE))=TRUE,"",VLOOKUP(DI3,Aufenthalte!$A:$G,7,FALSE))</f>
        <v xml:space="preserve">
</v>
      </c>
      <c r="DS3" s="7" t="str">
        <f t="shared" ref="DS3" si="36">IF(TEXT(DI3,"TTT")="Mo",WEEKNUM(DI3),"")</f>
        <v/>
      </c>
      <c r="DT3" s="27">
        <f>DATE(Konfiguration!$B$2,12,$B3)</f>
        <v>43435</v>
      </c>
      <c r="DU3" s="28">
        <f>IF(OR(WEEKDAY(DT3)=1,WEEKDAY(DT3)=7),1,0)</f>
        <v>1</v>
      </c>
      <c r="DV3" s="28">
        <f>IF(ISNA(VLOOKUP(DT3,Ferien!$A:$A,1,FALSE))=TRUE,0,1)</f>
        <v>0</v>
      </c>
      <c r="DW3" s="28">
        <f>IF(ISNA(VLOOKUP(DT3,Feiertage!$A:$A,1,FALSE))=TRUE,0,1)</f>
        <v>0</v>
      </c>
      <c r="DX3" s="28">
        <f>IF(ISNA(VLOOKUP(DT3,Termine!$A:$A,1,FALSE))=TRUE,0,1)</f>
        <v>0</v>
      </c>
      <c r="DY3" s="28" t="str">
        <f>IF(ISNA(VLOOKUP(DT3,Aufenthalte!$A:$B,2,FALSE))=TRUE,"",VLOOKUP(DT3,Aufenthalte!$A:$B,2,FALSE))</f>
        <v>Mama</v>
      </c>
      <c r="DZ3" s="25">
        <f t="shared" ref="DZ3:DZ33" si="37">DAY(DT3)</f>
        <v>1</v>
      </c>
      <c r="EA3" s="26">
        <f t="shared" ref="EA3:EA33" si="38">DT3</f>
        <v>43435</v>
      </c>
      <c r="EB3" s="24" t="str">
        <f t="shared" ref="EB3:EB33" si="39">IF(DX3=1,"ü","")</f>
        <v/>
      </c>
      <c r="EC3" s="54" t="str">
        <f>IF(ISNA(VLOOKUP(DT3,Aufenthalte!$A:$G,7,FALSE))=TRUE,"",VLOOKUP(DT3,Aufenthalte!$A:$G,7,FALSE))</f>
        <v xml:space="preserve">
</v>
      </c>
      <c r="ED3" s="7" t="str">
        <f t="shared" ref="ED3" si="40">IF(TEXT(DT3,"TTT")="Mo",WEEKNUM(DT3),"")</f>
        <v/>
      </c>
      <c r="EE3" s="27">
        <f>DATE(Konfiguration!$B$2+1,1,$B3)</f>
        <v>43466</v>
      </c>
      <c r="EF3" s="28">
        <f>IF(OR(WEEKDAY(EE3)=1,WEEKDAY(EE3)=7),1,0)</f>
        <v>0</v>
      </c>
      <c r="EG3" s="28">
        <f>IF(ISNA(VLOOKUP(EE3,Ferien!$A:$A,1,FALSE))=TRUE,0,1)</f>
        <v>1</v>
      </c>
      <c r="EH3" s="28">
        <f>IF(ISNA(VLOOKUP(EE3,Feiertage!$A:$A,1,FALSE))=TRUE,0,1)</f>
        <v>1</v>
      </c>
      <c r="EI3" s="28">
        <f>IF(ISNA(VLOOKUP(EE3,Termine!$A:$A,1,FALSE))=TRUE,0,1)</f>
        <v>0</v>
      </c>
      <c r="EJ3" s="28" t="str">
        <f>IF(ISNA(VLOOKUP(EE3,Aufenthalte!$A:$B,2,FALSE))=TRUE,"",VLOOKUP(EE3,Aufenthalte!$A:$B,2,FALSE))</f>
        <v>Mama</v>
      </c>
      <c r="EK3" s="25">
        <f t="shared" ref="EK3:EK17" si="41">DAY(EE3)</f>
        <v>1</v>
      </c>
      <c r="EL3" s="26">
        <f t="shared" ref="EL3:EL17" si="42">EE3</f>
        <v>43466</v>
      </c>
      <c r="EM3" s="24" t="str">
        <f t="shared" ref="EM3:EM17" si="43">IF(EI3=1,"ü","")</f>
        <v/>
      </c>
      <c r="EN3" s="54" t="str">
        <f>IF(ISNA(VLOOKUP(EE3,Aufenthalte!$A:$G,7,FALSE))=TRUE,"",VLOOKUP(EE3,Aufenthalte!$A:$G,7,FALSE))</f>
        <v xml:space="preserve">
</v>
      </c>
      <c r="EO3" s="7" t="str">
        <f t="shared" ref="EO3" si="44">IF(TEXT(EE3,"TTT")="Mo",WEEKNUM(EE3),"")</f>
        <v/>
      </c>
    </row>
    <row r="4" spans="2:145" s="1" customFormat="1" ht="21" customHeight="1">
      <c r="B4" s="8">
        <v>2</v>
      </c>
      <c r="C4" s="27">
        <f>DATE(Konfiguration!$B$2,1,$B4)</f>
        <v>43102</v>
      </c>
      <c r="D4" s="28">
        <f t="shared" ref="D4:D33" si="45">IF(OR(WEEKDAY(C4)=1,WEEKDAY(C4)=7),1,0)</f>
        <v>0</v>
      </c>
      <c r="E4" s="28">
        <f>IF(ISNA(VLOOKUP(C4,Ferien!$A:$A,1,FALSE))=TRUE,0,1)</f>
        <v>1</v>
      </c>
      <c r="F4" s="28">
        <f>IF(ISNA(VLOOKUP(C4,Feiertage!$A:$A,1,FALSE))=TRUE,0,1)</f>
        <v>0</v>
      </c>
      <c r="G4" s="28">
        <f>IF(ISNA(VLOOKUP(C4,Termine!$A:$A,1,FALSE))=TRUE,0,1)</f>
        <v>0</v>
      </c>
      <c r="H4" s="28" t="str">
        <f>IF(ISNA(VLOOKUP(C4,Aufenthalte!$A:$B,2,FALSE))=TRUE,"",VLOOKUP(C4,Aufenthalte!$A:$B,2,FALSE))</f>
        <v>Mama</v>
      </c>
      <c r="I4" s="25">
        <f t="shared" ref="I4:I33" si="46">DAY(C4)</f>
        <v>2</v>
      </c>
      <c r="J4" s="26">
        <f t="shared" si="0"/>
        <v>43102</v>
      </c>
      <c r="K4" s="24" t="str">
        <f t="shared" ref="K4:K33" si="47">IF(G4=1,"ü","")</f>
        <v/>
      </c>
      <c r="L4" s="54" t="str">
        <f>IF(ISNA(VLOOKUP(C4,Aufenthalte!$A:$G,7,FALSE))=TRUE,"",VLOOKUP(C4,Aufenthalte!$A:$G,7,FALSE))</f>
        <v xml:space="preserve">
</v>
      </c>
      <c r="M4" s="7" t="str">
        <f t="shared" si="1"/>
        <v/>
      </c>
      <c r="N4" s="27">
        <f>DATE(Konfiguration!$B$2,2,$B4)</f>
        <v>43133</v>
      </c>
      <c r="O4" s="28">
        <f t="shared" ref="O4:O30" si="48">IF(OR(WEEKDAY(N4)=1,WEEKDAY(N4)=7),1,0)</f>
        <v>0</v>
      </c>
      <c r="P4" s="28">
        <f>IF(ISNA(VLOOKUP(N4,Ferien!$A:$A,1,FALSE))=TRUE,0,1)</f>
        <v>0</v>
      </c>
      <c r="Q4" s="28">
        <f>IF(ISNA(VLOOKUP(N4,Feiertage!$A:$A,1,FALSE))=TRUE,0,1)</f>
        <v>0</v>
      </c>
      <c r="R4" s="28">
        <f>IF(ISNA(VLOOKUP(N4,Termine!$A:$A,1,FALSE))=TRUE,0,1)</f>
        <v>0</v>
      </c>
      <c r="S4" s="28" t="str">
        <f>IF(ISNA(VLOOKUP(N4,Aufenthalte!$A:$B,2,FALSE))=TRUE,"",VLOOKUP(N4,Aufenthalte!$A:$B,2,FALSE))</f>
        <v>Mama</v>
      </c>
      <c r="T4" s="25">
        <f t="shared" ref="T4:T30" si="49">DAY(N4)</f>
        <v>2</v>
      </c>
      <c r="U4" s="26">
        <f t="shared" ref="U4:U30" si="50">N4</f>
        <v>43133</v>
      </c>
      <c r="V4" s="24" t="str">
        <f t="shared" si="2"/>
        <v/>
      </c>
      <c r="W4" s="54" t="str">
        <f>IF(ISNA(VLOOKUP(N4,Aufenthalte!$A:$G,7,FALSE))=TRUE,"",VLOOKUP(N4,Aufenthalte!$A:$G,7,FALSE))</f>
        <v xml:space="preserve">
</v>
      </c>
      <c r="X4" s="7" t="str">
        <f t="shared" ref="X4:X30" si="51">IF(TEXT(N4,"TTT")="Mo",WEEKNUM(N4),"")</f>
        <v/>
      </c>
      <c r="Y4" s="27">
        <f>DATE(Konfiguration!$B$2,3,$B4)</f>
        <v>43161</v>
      </c>
      <c r="Z4" s="28">
        <f>IF(OR(WEEKDAY(Y4)=1,WEEKDAY(Y4)=7),1,0)</f>
        <v>0</v>
      </c>
      <c r="AA4" s="28">
        <f>IF(ISNA(VLOOKUP(Y4,Ferien!$A:$A,1,FALSE))=TRUE,0,1)</f>
        <v>0</v>
      </c>
      <c r="AB4" s="28">
        <f>IF(ISNA(VLOOKUP(Y4,Feiertage!$A:$A,1,FALSE))=TRUE,0,1)</f>
        <v>0</v>
      </c>
      <c r="AC4" s="28">
        <f>IF(ISNA(VLOOKUP(Y4,Termine!$A:$A,1,FALSE))=TRUE,0,1)</f>
        <v>0</v>
      </c>
      <c r="AD4" s="28" t="str">
        <f>IF(ISNA(VLOOKUP(Y4,Aufenthalte!$A:$B,2,FALSE))=TRUE,"",VLOOKUP(Y4,Aufenthalte!$A:$B,2,FALSE))</f>
        <v>Mama</v>
      </c>
      <c r="AE4" s="25">
        <f>DAY(Y4)</f>
        <v>2</v>
      </c>
      <c r="AF4" s="26">
        <f>Y4</f>
        <v>43161</v>
      </c>
      <c r="AG4" s="24" t="str">
        <f>IF(AC4=1,"ü","")</f>
        <v/>
      </c>
      <c r="AH4" s="54" t="str">
        <f>IF(ISNA(VLOOKUP(Y4,Aufenthalte!$A:$G,7,FALSE))=TRUE,"",VLOOKUP(Y4,Aufenthalte!$A:$G,7,FALSE))</f>
        <v xml:space="preserve">
</v>
      </c>
      <c r="AI4" s="7" t="str">
        <f t="shared" ref="AI4:AI33" si="52">IF(TEXT(Y4,"TTT")="Mo",WEEKNUM(Y4),"")</f>
        <v/>
      </c>
      <c r="AJ4" s="27">
        <f>DATE(Konfiguration!$B$2,4,$B4)</f>
        <v>43192</v>
      </c>
      <c r="AK4" s="28">
        <f t="shared" ref="AK4:AK32" si="53">IF(OR(WEEKDAY(AJ4)=1,WEEKDAY(AJ4)=7),1,0)</f>
        <v>0</v>
      </c>
      <c r="AL4" s="28">
        <f>IF(ISNA(VLOOKUP(AJ4,Ferien!$A:$A,1,FALSE))=TRUE,0,1)</f>
        <v>1</v>
      </c>
      <c r="AM4" s="28">
        <f>IF(ISNA(VLOOKUP(AJ4,Feiertage!$A:$A,1,FALSE))=TRUE,0,1)</f>
        <v>1</v>
      </c>
      <c r="AN4" s="28">
        <f>IF(ISNA(VLOOKUP(AJ4,Termine!$A:$A,1,FALSE))=TRUE,0,1)</f>
        <v>0</v>
      </c>
      <c r="AO4" s="28" t="str">
        <f>IF(ISNA(VLOOKUP(AJ4,Aufenthalte!$A:$B,2,FALSE))=TRUE,"",VLOOKUP(AJ4,Aufenthalte!$A:$B,2,FALSE))</f>
        <v>Mama</v>
      </c>
      <c r="AP4" s="25">
        <f t="shared" si="5"/>
        <v>2</v>
      </c>
      <c r="AQ4" s="26">
        <f t="shared" si="6"/>
        <v>43192</v>
      </c>
      <c r="AR4" s="24" t="str">
        <f t="shared" si="7"/>
        <v/>
      </c>
      <c r="AS4" s="54" t="str">
        <f>IF(ISNA(VLOOKUP(AJ4,Aufenthalte!$A:$G,7,FALSE))=TRUE,"",VLOOKUP(AJ4,Aufenthalte!$A:$G,7,FALSE))</f>
        <v xml:space="preserve">
</v>
      </c>
      <c r="AT4" s="7">
        <f t="shared" ref="AT4:AT32" si="54">IF(TEXT(AJ4,"TTT")="Mo",WEEKNUM(AJ4),"")</f>
        <v>14</v>
      </c>
      <c r="AU4" s="27">
        <f>DATE(Konfiguration!$B$2,5,$B4)</f>
        <v>43222</v>
      </c>
      <c r="AV4" s="28">
        <f t="shared" ref="AV4:AV33" si="55">IF(OR(WEEKDAY(AU4)=1,WEEKDAY(AU4)=7),1,0)</f>
        <v>0</v>
      </c>
      <c r="AW4" s="28">
        <f>IF(ISNA(VLOOKUP(AU4,Ferien!$A:$A,1,FALSE))=TRUE,0,1)</f>
        <v>0</v>
      </c>
      <c r="AX4" s="28">
        <f>IF(ISNA(VLOOKUP(AU4,Feiertage!$A:$A,1,FALSE))=TRUE,0,1)</f>
        <v>0</v>
      </c>
      <c r="AY4" s="28">
        <f>IF(ISNA(VLOOKUP(AU4,Termine!$A:$A,1,FALSE))=TRUE,0,1)</f>
        <v>0</v>
      </c>
      <c r="AZ4" s="28" t="str">
        <f>IF(ISNA(VLOOKUP(AU4,Aufenthalte!$A:$B,2,FALSE))=TRUE,"",VLOOKUP(AU4,Aufenthalte!$A:$B,2,FALSE))</f>
        <v>Mama</v>
      </c>
      <c r="BA4" s="25">
        <f t="shared" si="9"/>
        <v>2</v>
      </c>
      <c r="BB4" s="26">
        <f t="shared" si="10"/>
        <v>43222</v>
      </c>
      <c r="BC4" s="24" t="str">
        <f t="shared" si="11"/>
        <v/>
      </c>
      <c r="BD4" s="54" t="str">
        <f>IF(ISNA(VLOOKUP(AU4,Aufenthalte!$A:$G,7,FALSE))=TRUE,"",VLOOKUP(AU4,Aufenthalte!$A:$G,7,FALSE))</f>
        <v xml:space="preserve">
</v>
      </c>
      <c r="BE4" s="7" t="str">
        <f t="shared" ref="BE4:BE33" si="56">IF(TEXT(AU4,"TTT")="Mo",WEEKNUM(AU4),"")</f>
        <v/>
      </c>
      <c r="BF4" s="27">
        <f>DATE(Konfiguration!$B$2,6,$B4)</f>
        <v>43253</v>
      </c>
      <c r="BG4" s="28">
        <f t="shared" ref="BG4:BG32" si="57">IF(OR(WEEKDAY(BF4)=1,WEEKDAY(BF4)=7),1,0)</f>
        <v>1</v>
      </c>
      <c r="BH4" s="28">
        <f>IF(ISNA(VLOOKUP(BF4,Ferien!$A:$A,1,FALSE))=TRUE,0,1)</f>
        <v>0</v>
      </c>
      <c r="BI4" s="28">
        <f>IF(ISNA(VLOOKUP(BF4,Feiertage!$A:$A,1,FALSE))=TRUE,0,1)</f>
        <v>0</v>
      </c>
      <c r="BJ4" s="28">
        <f>IF(ISNA(VLOOKUP(BF4,Termine!$A:$A,1,FALSE))=TRUE,0,1)</f>
        <v>0</v>
      </c>
      <c r="BK4" s="28" t="str">
        <f>IF(ISNA(VLOOKUP(BF4,Aufenthalte!$A:$B,2,FALSE))=TRUE,"",VLOOKUP(BF4,Aufenthalte!$A:$B,2,FALSE))</f>
        <v>Mama</v>
      </c>
      <c r="BL4" s="25">
        <f t="shared" si="13"/>
        <v>2</v>
      </c>
      <c r="BM4" s="26">
        <f t="shared" si="14"/>
        <v>43253</v>
      </c>
      <c r="BN4" s="24" t="str">
        <f t="shared" si="15"/>
        <v/>
      </c>
      <c r="BO4" s="54" t="str">
        <f>IF(ISNA(VLOOKUP(BF4,Aufenthalte!$A:$G,7,FALSE))=TRUE,"",VLOOKUP(BF4,Aufenthalte!$A:$G,7,FALSE))</f>
        <v xml:space="preserve">
</v>
      </c>
      <c r="BP4" s="7" t="str">
        <f t="shared" ref="BP4:BP32" si="58">IF(TEXT(BF4,"TTT")="Mo",WEEKNUM(BF4),"")</f>
        <v/>
      </c>
      <c r="BQ4" s="27">
        <f>DATE(Konfiguration!$B$2,7,$B4)</f>
        <v>43283</v>
      </c>
      <c r="BR4" s="28">
        <f t="shared" ref="BR4:BR33" si="59">IF(OR(WEEKDAY(BQ4)=1,WEEKDAY(BQ4)=7),1,0)</f>
        <v>0</v>
      </c>
      <c r="BS4" s="28">
        <f>IF(ISNA(VLOOKUP(BQ4,Ferien!$A:$A,1,FALSE))=TRUE,0,1)</f>
        <v>1</v>
      </c>
      <c r="BT4" s="28">
        <f>IF(ISNA(VLOOKUP(BQ4,Feiertage!$A:$A,1,FALSE))=TRUE,0,1)</f>
        <v>0</v>
      </c>
      <c r="BU4" s="28">
        <f>IF(ISNA(VLOOKUP(BQ4,Termine!$A:$A,1,FALSE))=TRUE,0,1)</f>
        <v>0</v>
      </c>
      <c r="BV4" s="28" t="str">
        <f>IF(ISNA(VLOOKUP(BQ4,Aufenthalte!$A:$B,2,FALSE))=TRUE,"",VLOOKUP(BQ4,Aufenthalte!$A:$B,2,FALSE))</f>
        <v>Mama</v>
      </c>
      <c r="BW4" s="25">
        <f t="shared" si="17"/>
        <v>2</v>
      </c>
      <c r="BX4" s="26">
        <f t="shared" si="18"/>
        <v>43283</v>
      </c>
      <c r="BY4" s="24" t="str">
        <f t="shared" si="19"/>
        <v/>
      </c>
      <c r="BZ4" s="54" t="str">
        <f>IF(ISNA(VLOOKUP(BQ4,Aufenthalte!$A:$G,7,FALSE))=TRUE,"",VLOOKUP(BQ4,Aufenthalte!$A:$G,7,FALSE))</f>
        <v xml:space="preserve">
</v>
      </c>
      <c r="CA4" s="7">
        <f t="shared" ref="CA4:CA33" si="60">IF(TEXT(BQ4,"TTT")="Mo",WEEKNUM(BQ4),"")</f>
        <v>27</v>
      </c>
      <c r="CB4" s="27">
        <f>DATE(Konfiguration!$B$2,8,$B4)</f>
        <v>43314</v>
      </c>
      <c r="CC4" s="28">
        <f t="shared" ref="CC4:CC33" si="61">IF(OR(WEEKDAY(CB4)=1,WEEKDAY(CB4)=7),1,0)</f>
        <v>0</v>
      </c>
      <c r="CD4" s="28">
        <f>IF(ISNA(VLOOKUP(CB4,Ferien!$A:$A,1,FALSE))=TRUE,0,1)</f>
        <v>1</v>
      </c>
      <c r="CE4" s="28">
        <f>IF(ISNA(VLOOKUP(CB4,Feiertage!$A:$A,1,FALSE))=TRUE,0,1)</f>
        <v>0</v>
      </c>
      <c r="CF4" s="28">
        <f>IF(ISNA(VLOOKUP(CB4,Termine!$A:$A,1,FALSE))=TRUE,0,1)</f>
        <v>0</v>
      </c>
      <c r="CG4" s="28" t="str">
        <f>IF(ISNA(VLOOKUP(CB4,Aufenthalte!$A:$B,2,FALSE))=TRUE,"",VLOOKUP(CB4,Aufenthalte!$A:$B,2,FALSE))</f>
        <v>Mama</v>
      </c>
      <c r="CH4" s="25">
        <f t="shared" si="21"/>
        <v>2</v>
      </c>
      <c r="CI4" s="26">
        <f t="shared" si="22"/>
        <v>43314</v>
      </c>
      <c r="CJ4" s="24" t="str">
        <f t="shared" si="23"/>
        <v/>
      </c>
      <c r="CK4" s="54" t="str">
        <f>IF(ISNA(VLOOKUP(CB4,Aufenthalte!$A:$G,7,FALSE))=TRUE,"",VLOOKUP(CB4,Aufenthalte!$A:$G,7,FALSE))</f>
        <v xml:space="preserve">
</v>
      </c>
      <c r="CL4" s="7" t="str">
        <f t="shared" ref="CL4:CL33" si="62">IF(TEXT(CB4,"TTT")="Mo",WEEKNUM(CB4),"")</f>
        <v/>
      </c>
      <c r="CM4" s="27">
        <f>DATE(Konfiguration!$B$2,9,$B4)</f>
        <v>43345</v>
      </c>
      <c r="CN4" s="28">
        <f t="shared" ref="CN4:CN32" si="63">IF(OR(WEEKDAY(CM4)=1,WEEKDAY(CM4)=7),1,0)</f>
        <v>1</v>
      </c>
      <c r="CO4" s="28">
        <f>IF(ISNA(VLOOKUP(CM4,Ferien!$A:$A,1,FALSE))=TRUE,0,1)</f>
        <v>0</v>
      </c>
      <c r="CP4" s="28">
        <f>IF(ISNA(VLOOKUP(CM4,Feiertage!$A:$A,1,FALSE))=TRUE,0,1)</f>
        <v>0</v>
      </c>
      <c r="CQ4" s="28">
        <f>IF(ISNA(VLOOKUP(CM4,Termine!$A:$A,1,FALSE))=TRUE,0,1)</f>
        <v>0</v>
      </c>
      <c r="CR4" s="28" t="str">
        <f>IF(ISNA(VLOOKUP(CM4,Aufenthalte!$A:$B,2,FALSE))=TRUE,"",VLOOKUP(CM4,Aufenthalte!$A:$B,2,FALSE))</f>
        <v>Mama</v>
      </c>
      <c r="CS4" s="25">
        <f t="shared" si="25"/>
        <v>2</v>
      </c>
      <c r="CT4" s="26">
        <f t="shared" si="26"/>
        <v>43345</v>
      </c>
      <c r="CU4" s="24" t="str">
        <f t="shared" si="27"/>
        <v/>
      </c>
      <c r="CV4" s="54" t="str">
        <f>IF(ISNA(VLOOKUP(CM4,Aufenthalte!$A:$G,7,FALSE))=TRUE,"",VLOOKUP(CM4,Aufenthalte!$A:$G,7,FALSE))</f>
        <v xml:space="preserve">
</v>
      </c>
      <c r="CW4" s="7" t="str">
        <f t="shared" ref="CW4:CW32" si="64">IF(TEXT(CM4,"TTT")="Mo",WEEKNUM(CM4),"")</f>
        <v/>
      </c>
      <c r="CX4" s="27">
        <f>DATE(Konfiguration!$B$2,10,$B4)</f>
        <v>43375</v>
      </c>
      <c r="CY4" s="28">
        <f t="shared" ref="CY4:CY33" si="65">IF(OR(WEEKDAY(CX4)=1,WEEKDAY(CX4)=7),1,0)</f>
        <v>0</v>
      </c>
      <c r="CZ4" s="28">
        <f>IF(ISNA(VLOOKUP(CX4,Ferien!$A:$A,1,FALSE))=TRUE,0,1)</f>
        <v>1</v>
      </c>
      <c r="DA4" s="28">
        <f>IF(ISNA(VLOOKUP(CX4,Feiertage!$A:$A,1,FALSE))=TRUE,0,1)</f>
        <v>0</v>
      </c>
      <c r="DB4" s="28">
        <f>IF(ISNA(VLOOKUP(CX4,Termine!$A:$A,1,FALSE))=TRUE,0,1)</f>
        <v>0</v>
      </c>
      <c r="DC4" s="28" t="str">
        <f>IF(ISNA(VLOOKUP(CX4,Aufenthalte!$A:$B,2,FALSE))=TRUE,"",VLOOKUP(CX4,Aufenthalte!$A:$B,2,FALSE))</f>
        <v>Mama</v>
      </c>
      <c r="DD4" s="25">
        <f t="shared" si="29"/>
        <v>2</v>
      </c>
      <c r="DE4" s="26">
        <f t="shared" si="30"/>
        <v>43375</v>
      </c>
      <c r="DF4" s="24" t="str">
        <f t="shared" si="31"/>
        <v/>
      </c>
      <c r="DG4" s="54" t="str">
        <f>IF(ISNA(VLOOKUP(CX4,Aufenthalte!$A:$G,7,FALSE))=TRUE,"",VLOOKUP(CX4,Aufenthalte!$A:$G,7,FALSE))</f>
        <v xml:space="preserve">
</v>
      </c>
      <c r="DH4" s="7" t="str">
        <f t="shared" ref="DH4:DH33" si="66">IF(TEXT(CX4,"TTT")="Mo",WEEKNUM(CX4),"")</f>
        <v/>
      </c>
      <c r="DI4" s="27">
        <f>DATE(Konfiguration!$B$2,11,$B4)</f>
        <v>43406</v>
      </c>
      <c r="DJ4" s="28">
        <f t="shared" ref="DJ4:DJ32" si="67">IF(OR(WEEKDAY(DI4)=1,WEEKDAY(DI4)=7),1,0)</f>
        <v>0</v>
      </c>
      <c r="DK4" s="28">
        <f>IF(ISNA(VLOOKUP(DI4,Ferien!$A:$A,1,FALSE))=TRUE,0,1)</f>
        <v>0</v>
      </c>
      <c r="DL4" s="28">
        <f>IF(ISNA(VLOOKUP(DI4,Feiertage!$A:$A,1,FALSE))=TRUE,0,1)</f>
        <v>0</v>
      </c>
      <c r="DM4" s="28">
        <f>IF(ISNA(VLOOKUP(DI4,Termine!$A:$A,1,FALSE))=TRUE,0,1)</f>
        <v>0</v>
      </c>
      <c r="DN4" s="28" t="str">
        <f>IF(ISNA(VLOOKUP(DI4,Aufenthalte!$A:$B,2,FALSE))=TRUE,"",VLOOKUP(DI4,Aufenthalte!$A:$B,2,FALSE))</f>
        <v>Mama</v>
      </c>
      <c r="DO4" s="25">
        <f t="shared" si="33"/>
        <v>2</v>
      </c>
      <c r="DP4" s="26">
        <f t="shared" si="34"/>
        <v>43406</v>
      </c>
      <c r="DQ4" s="24" t="str">
        <f t="shared" si="35"/>
        <v/>
      </c>
      <c r="DR4" s="54" t="str">
        <f>IF(ISNA(VLOOKUP(DI4,Aufenthalte!$A:$G,7,FALSE))=TRUE,"",VLOOKUP(DI4,Aufenthalte!$A:$G,7,FALSE))</f>
        <v xml:space="preserve">
</v>
      </c>
      <c r="DS4" s="7" t="str">
        <f t="shared" ref="DS4:DS32" si="68">IF(TEXT(DI4,"TTT")="Mo",WEEKNUM(DI4),"")</f>
        <v/>
      </c>
      <c r="DT4" s="27">
        <f>DATE(Konfiguration!$B$2,12,$B4)</f>
        <v>43436</v>
      </c>
      <c r="DU4" s="28">
        <f t="shared" ref="DU4:DU33" si="69">IF(OR(WEEKDAY(DT4)=1,WEEKDAY(DT4)=7),1,0)</f>
        <v>1</v>
      </c>
      <c r="DV4" s="28">
        <f>IF(ISNA(VLOOKUP(DT4,Ferien!$A:$A,1,FALSE))=TRUE,0,1)</f>
        <v>0</v>
      </c>
      <c r="DW4" s="28">
        <f>IF(ISNA(VLOOKUP(DT4,Feiertage!$A:$A,1,FALSE))=TRUE,0,1)</f>
        <v>0</v>
      </c>
      <c r="DX4" s="28">
        <f>IF(ISNA(VLOOKUP(DT4,Termine!$A:$A,1,FALSE))=TRUE,0,1)</f>
        <v>0</v>
      </c>
      <c r="DY4" s="28" t="str">
        <f>IF(ISNA(VLOOKUP(DT4,Aufenthalte!$A:$B,2,FALSE))=TRUE,"",VLOOKUP(DT4,Aufenthalte!$A:$B,2,FALSE))</f>
        <v>Mama</v>
      </c>
      <c r="DZ4" s="25">
        <f t="shared" si="37"/>
        <v>2</v>
      </c>
      <c r="EA4" s="26">
        <f t="shared" si="38"/>
        <v>43436</v>
      </c>
      <c r="EB4" s="24" t="str">
        <f t="shared" si="39"/>
        <v/>
      </c>
      <c r="EC4" s="54" t="str">
        <f>IF(ISNA(VLOOKUP(DT4,Aufenthalte!$A:$G,7,FALSE))=TRUE,"",VLOOKUP(DT4,Aufenthalte!$A:$G,7,FALSE))</f>
        <v xml:space="preserve">
</v>
      </c>
      <c r="ED4" s="7" t="str">
        <f t="shared" ref="ED4:ED33" si="70">IF(TEXT(DT4,"TTT")="Mo",WEEKNUM(DT4),"")</f>
        <v/>
      </c>
      <c r="EE4" s="27">
        <f>DATE(Konfiguration!$B$2+1,1,$B4)</f>
        <v>43467</v>
      </c>
      <c r="EF4" s="28">
        <f t="shared" ref="EF4:EF17" si="71">IF(OR(WEEKDAY(EE4)=1,WEEKDAY(EE4)=7),1,0)</f>
        <v>0</v>
      </c>
      <c r="EG4" s="28">
        <f>IF(ISNA(VLOOKUP(EE4,Ferien!$A:$A,1,FALSE))=TRUE,0,1)</f>
        <v>1</v>
      </c>
      <c r="EH4" s="28">
        <f>IF(ISNA(VLOOKUP(EE4,Feiertage!$A:$A,1,FALSE))=TRUE,0,1)</f>
        <v>0</v>
      </c>
      <c r="EI4" s="28">
        <f>IF(ISNA(VLOOKUP(EE4,Termine!$A:$A,1,FALSE))=TRUE,0,1)</f>
        <v>0</v>
      </c>
      <c r="EJ4" s="28" t="str">
        <f>IF(ISNA(VLOOKUP(EE4,Aufenthalte!$A:$B,2,FALSE))=TRUE,"",VLOOKUP(EE4,Aufenthalte!$A:$B,2,FALSE))</f>
        <v>Mama</v>
      </c>
      <c r="EK4" s="25">
        <f t="shared" si="41"/>
        <v>2</v>
      </c>
      <c r="EL4" s="26">
        <f t="shared" si="42"/>
        <v>43467</v>
      </c>
      <c r="EM4" s="24" t="str">
        <f t="shared" si="43"/>
        <v/>
      </c>
      <c r="EN4" s="54" t="str">
        <f>IF(ISNA(VLOOKUP(EE4,Aufenthalte!$A:$G,7,FALSE))=TRUE,"",VLOOKUP(EE4,Aufenthalte!$A:$G,7,FALSE))</f>
        <v xml:space="preserve">
</v>
      </c>
      <c r="EO4" s="7" t="str">
        <f t="shared" ref="EO4:EO17" si="72">IF(TEXT(EE4,"TTT")="Mo",WEEKNUM(EE4),"")</f>
        <v/>
      </c>
    </row>
    <row r="5" spans="2:145" s="1" customFormat="1" ht="21" customHeight="1">
      <c r="B5" s="8">
        <v>3</v>
      </c>
      <c r="C5" s="27">
        <f>DATE(Konfiguration!$B$2,1,$B5)</f>
        <v>43103</v>
      </c>
      <c r="D5" s="28">
        <f t="shared" si="45"/>
        <v>0</v>
      </c>
      <c r="E5" s="28">
        <f>IF(ISNA(VLOOKUP(C5,Ferien!$A:$A,1,FALSE))=TRUE,0,1)</f>
        <v>1</v>
      </c>
      <c r="F5" s="28">
        <f>IF(ISNA(VLOOKUP(C5,Feiertage!$A:$A,1,FALSE))=TRUE,0,1)</f>
        <v>0</v>
      </c>
      <c r="G5" s="28">
        <f>IF(ISNA(VLOOKUP(C5,Termine!$A:$A,1,FALSE))=TRUE,0,1)</f>
        <v>0</v>
      </c>
      <c r="H5" s="28" t="str">
        <f>IF(ISNA(VLOOKUP(C5,Aufenthalte!$A:$B,2,FALSE))=TRUE,"",VLOOKUP(C5,Aufenthalte!$A:$B,2,FALSE))</f>
        <v>Papa</v>
      </c>
      <c r="I5" s="25">
        <f t="shared" si="46"/>
        <v>3</v>
      </c>
      <c r="J5" s="26">
        <f t="shared" si="0"/>
        <v>43103</v>
      </c>
      <c r="K5" s="24" t="str">
        <f t="shared" si="47"/>
        <v/>
      </c>
      <c r="L5" s="54" t="str">
        <f>IF(ISNA(VLOOKUP(C5,Aufenthalte!$A:$G,7,FALSE))=TRUE,"",VLOOKUP(C5,Aufenthalte!$A:$G,7,FALSE))</f>
        <v xml:space="preserve">09:00
</v>
      </c>
      <c r="M5" s="7" t="str">
        <f t="shared" si="1"/>
        <v/>
      </c>
      <c r="N5" s="27">
        <f>DATE(Konfiguration!$B$2,2,$B5)</f>
        <v>43134</v>
      </c>
      <c r="O5" s="28">
        <f t="shared" si="48"/>
        <v>1</v>
      </c>
      <c r="P5" s="28">
        <f>IF(ISNA(VLOOKUP(N5,Ferien!$A:$A,1,FALSE))=TRUE,0,1)</f>
        <v>0</v>
      </c>
      <c r="Q5" s="28">
        <f>IF(ISNA(VLOOKUP(N5,Feiertage!$A:$A,1,FALSE))=TRUE,0,1)</f>
        <v>0</v>
      </c>
      <c r="R5" s="28">
        <f>IF(ISNA(VLOOKUP(N5,Termine!$A:$A,1,FALSE))=TRUE,0,1)</f>
        <v>0</v>
      </c>
      <c r="S5" s="28" t="str">
        <f>IF(ISNA(VLOOKUP(N5,Aufenthalte!$A:$B,2,FALSE))=TRUE,"",VLOOKUP(N5,Aufenthalte!$A:$B,2,FALSE))</f>
        <v>Mama</v>
      </c>
      <c r="T5" s="25">
        <f t="shared" si="49"/>
        <v>3</v>
      </c>
      <c r="U5" s="26">
        <f t="shared" si="50"/>
        <v>43134</v>
      </c>
      <c r="V5" s="24" t="str">
        <f t="shared" si="2"/>
        <v/>
      </c>
      <c r="W5" s="54" t="str">
        <f>IF(ISNA(VLOOKUP(N5,Aufenthalte!$A:$G,7,FALSE))=TRUE,"",VLOOKUP(N5,Aufenthalte!$A:$G,7,FALSE))</f>
        <v xml:space="preserve">
</v>
      </c>
      <c r="X5" s="7" t="str">
        <f t="shared" si="51"/>
        <v/>
      </c>
      <c r="Y5" s="27">
        <f>DATE(Konfiguration!$B$2,3,$B5)</f>
        <v>43162</v>
      </c>
      <c r="Z5" s="28">
        <f t="shared" ref="Z5:Z33" si="73">IF(OR(WEEKDAY(Y5)=1,WEEKDAY(Y5)=7),1,0)</f>
        <v>1</v>
      </c>
      <c r="AA5" s="28">
        <f>IF(ISNA(VLOOKUP(Y5,Ferien!$A:$A,1,FALSE))=TRUE,0,1)</f>
        <v>0</v>
      </c>
      <c r="AB5" s="28">
        <f>IF(ISNA(VLOOKUP(Y5,Feiertage!$A:$A,1,FALSE))=TRUE,0,1)</f>
        <v>0</v>
      </c>
      <c r="AC5" s="28">
        <f>IF(ISNA(VLOOKUP(Y5,Termine!$A:$A,1,FALSE))=TRUE,0,1)</f>
        <v>0</v>
      </c>
      <c r="AD5" s="28" t="str">
        <f>IF(ISNA(VLOOKUP(Y5,Aufenthalte!$A:$B,2,FALSE))=TRUE,"",VLOOKUP(Y5,Aufenthalte!$A:$B,2,FALSE))</f>
        <v>Mama</v>
      </c>
      <c r="AE5" s="25">
        <f t="shared" ref="AE5:AE33" si="74">DAY(Y5)</f>
        <v>3</v>
      </c>
      <c r="AF5" s="26">
        <f t="shared" ref="AF5:AF33" si="75">Y5</f>
        <v>43162</v>
      </c>
      <c r="AG5" s="24" t="str">
        <f t="shared" ref="AG5:AG33" si="76">IF(AC5=1,"ü","")</f>
        <v/>
      </c>
      <c r="AH5" s="54" t="str">
        <f>IF(ISNA(VLOOKUP(Y5,Aufenthalte!$A:$G,7,FALSE))=TRUE,"",VLOOKUP(Y5,Aufenthalte!$A:$G,7,FALSE))</f>
        <v xml:space="preserve">
</v>
      </c>
      <c r="AI5" s="7" t="str">
        <f t="shared" si="52"/>
        <v/>
      </c>
      <c r="AJ5" s="27">
        <f>DATE(Konfiguration!$B$2,4,$B5)</f>
        <v>43193</v>
      </c>
      <c r="AK5" s="28">
        <f t="shared" si="53"/>
        <v>0</v>
      </c>
      <c r="AL5" s="28">
        <f>IF(ISNA(VLOOKUP(AJ5,Ferien!$A:$A,1,FALSE))=TRUE,0,1)</f>
        <v>1</v>
      </c>
      <c r="AM5" s="28">
        <f>IF(ISNA(VLOOKUP(AJ5,Feiertage!$A:$A,1,FALSE))=TRUE,0,1)</f>
        <v>0</v>
      </c>
      <c r="AN5" s="28">
        <f>IF(ISNA(VLOOKUP(AJ5,Termine!$A:$A,1,FALSE))=TRUE,0,1)</f>
        <v>0</v>
      </c>
      <c r="AO5" s="28" t="str">
        <f>IF(ISNA(VLOOKUP(AJ5,Aufenthalte!$A:$B,2,FALSE))=TRUE,"",VLOOKUP(AJ5,Aufenthalte!$A:$B,2,FALSE))</f>
        <v>Mama</v>
      </c>
      <c r="AP5" s="25">
        <f t="shared" si="5"/>
        <v>3</v>
      </c>
      <c r="AQ5" s="26">
        <f t="shared" si="6"/>
        <v>43193</v>
      </c>
      <c r="AR5" s="24" t="str">
        <f t="shared" si="7"/>
        <v/>
      </c>
      <c r="AS5" s="54" t="str">
        <f>IF(ISNA(VLOOKUP(AJ5,Aufenthalte!$A:$G,7,FALSE))=TRUE,"",VLOOKUP(AJ5,Aufenthalte!$A:$G,7,FALSE))</f>
        <v xml:space="preserve">
</v>
      </c>
      <c r="AT5" s="7" t="str">
        <f t="shared" si="54"/>
        <v/>
      </c>
      <c r="AU5" s="27">
        <f>DATE(Konfiguration!$B$2,5,$B5)</f>
        <v>43223</v>
      </c>
      <c r="AV5" s="28">
        <f t="shared" si="55"/>
        <v>0</v>
      </c>
      <c r="AW5" s="28">
        <f>IF(ISNA(VLOOKUP(AU5,Ferien!$A:$A,1,FALSE))=TRUE,0,1)</f>
        <v>0</v>
      </c>
      <c r="AX5" s="28">
        <f>IF(ISNA(VLOOKUP(AU5,Feiertage!$A:$A,1,FALSE))=TRUE,0,1)</f>
        <v>0</v>
      </c>
      <c r="AY5" s="28">
        <f>IF(ISNA(VLOOKUP(AU5,Termine!$A:$A,1,FALSE))=TRUE,0,1)</f>
        <v>0</v>
      </c>
      <c r="AZ5" s="28" t="str">
        <f>IF(ISNA(VLOOKUP(AU5,Aufenthalte!$A:$B,2,FALSE))=TRUE,"",VLOOKUP(AU5,Aufenthalte!$A:$B,2,FALSE))</f>
        <v>Mama</v>
      </c>
      <c r="BA5" s="25">
        <f t="shared" si="9"/>
        <v>3</v>
      </c>
      <c r="BB5" s="26">
        <f t="shared" si="10"/>
        <v>43223</v>
      </c>
      <c r="BC5" s="24" t="str">
        <f t="shared" si="11"/>
        <v/>
      </c>
      <c r="BD5" s="54" t="str">
        <f>IF(ISNA(VLOOKUP(AU5,Aufenthalte!$A:$G,7,FALSE))=TRUE,"",VLOOKUP(AU5,Aufenthalte!$A:$G,7,FALSE))</f>
        <v xml:space="preserve">
</v>
      </c>
      <c r="BE5" s="7" t="str">
        <f t="shared" si="56"/>
        <v/>
      </c>
      <c r="BF5" s="27">
        <f>DATE(Konfiguration!$B$2,6,$B5)</f>
        <v>43254</v>
      </c>
      <c r="BG5" s="28">
        <f t="shared" si="57"/>
        <v>1</v>
      </c>
      <c r="BH5" s="28">
        <f>IF(ISNA(VLOOKUP(BF5,Ferien!$A:$A,1,FALSE))=TRUE,0,1)</f>
        <v>0</v>
      </c>
      <c r="BI5" s="28">
        <f>IF(ISNA(VLOOKUP(BF5,Feiertage!$A:$A,1,FALSE))=TRUE,0,1)</f>
        <v>0</v>
      </c>
      <c r="BJ5" s="28">
        <f>IF(ISNA(VLOOKUP(BF5,Termine!$A:$A,1,FALSE))=TRUE,0,1)</f>
        <v>0</v>
      </c>
      <c r="BK5" s="28" t="str">
        <f>IF(ISNA(VLOOKUP(BF5,Aufenthalte!$A:$B,2,FALSE))=TRUE,"",VLOOKUP(BF5,Aufenthalte!$A:$B,2,FALSE))</f>
        <v>Mama</v>
      </c>
      <c r="BL5" s="25">
        <f t="shared" si="13"/>
        <v>3</v>
      </c>
      <c r="BM5" s="26">
        <f t="shared" si="14"/>
        <v>43254</v>
      </c>
      <c r="BN5" s="24" t="str">
        <f t="shared" si="15"/>
        <v/>
      </c>
      <c r="BO5" s="54" t="str">
        <f>IF(ISNA(VLOOKUP(BF5,Aufenthalte!$A:$G,7,FALSE))=TRUE,"",VLOOKUP(BF5,Aufenthalte!$A:$G,7,FALSE))</f>
        <v xml:space="preserve">
</v>
      </c>
      <c r="BP5" s="7" t="str">
        <f t="shared" si="58"/>
        <v/>
      </c>
      <c r="BQ5" s="27">
        <f>DATE(Konfiguration!$B$2,7,$B5)</f>
        <v>43284</v>
      </c>
      <c r="BR5" s="28">
        <f t="shared" si="59"/>
        <v>0</v>
      </c>
      <c r="BS5" s="28">
        <f>IF(ISNA(VLOOKUP(BQ5,Ferien!$A:$A,1,FALSE))=TRUE,0,1)</f>
        <v>1</v>
      </c>
      <c r="BT5" s="28">
        <f>IF(ISNA(VLOOKUP(BQ5,Feiertage!$A:$A,1,FALSE))=TRUE,0,1)</f>
        <v>0</v>
      </c>
      <c r="BU5" s="28">
        <f>IF(ISNA(VLOOKUP(BQ5,Termine!$A:$A,1,FALSE))=TRUE,0,1)</f>
        <v>0</v>
      </c>
      <c r="BV5" s="28" t="str">
        <f>IF(ISNA(VLOOKUP(BQ5,Aufenthalte!$A:$B,2,FALSE))=TRUE,"",VLOOKUP(BQ5,Aufenthalte!$A:$B,2,FALSE))</f>
        <v>Mama</v>
      </c>
      <c r="BW5" s="25">
        <f t="shared" si="17"/>
        <v>3</v>
      </c>
      <c r="BX5" s="26">
        <f t="shared" si="18"/>
        <v>43284</v>
      </c>
      <c r="BY5" s="24" t="str">
        <f t="shared" si="19"/>
        <v/>
      </c>
      <c r="BZ5" s="54" t="str">
        <f>IF(ISNA(VLOOKUP(BQ5,Aufenthalte!$A:$G,7,FALSE))=TRUE,"",VLOOKUP(BQ5,Aufenthalte!$A:$G,7,FALSE))</f>
        <v xml:space="preserve">
</v>
      </c>
      <c r="CA5" s="7" t="str">
        <f t="shared" si="60"/>
        <v/>
      </c>
      <c r="CB5" s="27">
        <f>DATE(Konfiguration!$B$2,8,$B5)</f>
        <v>43315</v>
      </c>
      <c r="CC5" s="28">
        <f t="shared" si="61"/>
        <v>0</v>
      </c>
      <c r="CD5" s="28">
        <f>IF(ISNA(VLOOKUP(CB5,Ferien!$A:$A,1,FALSE))=TRUE,0,1)</f>
        <v>1</v>
      </c>
      <c r="CE5" s="28">
        <f>IF(ISNA(VLOOKUP(CB5,Feiertage!$A:$A,1,FALSE))=TRUE,0,1)</f>
        <v>0</v>
      </c>
      <c r="CF5" s="28">
        <f>IF(ISNA(VLOOKUP(CB5,Termine!$A:$A,1,FALSE))=TRUE,0,1)</f>
        <v>0</v>
      </c>
      <c r="CG5" s="28" t="str">
        <f>IF(ISNA(VLOOKUP(CB5,Aufenthalte!$A:$B,2,FALSE))=TRUE,"",VLOOKUP(CB5,Aufenthalte!$A:$B,2,FALSE))</f>
        <v>Mama</v>
      </c>
      <c r="CH5" s="25">
        <f t="shared" si="21"/>
        <v>3</v>
      </c>
      <c r="CI5" s="26">
        <f t="shared" si="22"/>
        <v>43315</v>
      </c>
      <c r="CJ5" s="24" t="str">
        <f t="shared" si="23"/>
        <v/>
      </c>
      <c r="CK5" s="54" t="str">
        <f>IF(ISNA(VLOOKUP(CB5,Aufenthalte!$A:$G,7,FALSE))=TRUE,"",VLOOKUP(CB5,Aufenthalte!$A:$G,7,FALSE))</f>
        <v xml:space="preserve">
</v>
      </c>
      <c r="CL5" s="7" t="str">
        <f t="shared" si="62"/>
        <v/>
      </c>
      <c r="CM5" s="27">
        <f>DATE(Konfiguration!$B$2,9,$B5)</f>
        <v>43346</v>
      </c>
      <c r="CN5" s="28">
        <f t="shared" si="63"/>
        <v>0</v>
      </c>
      <c r="CO5" s="28">
        <f>IF(ISNA(VLOOKUP(CM5,Ferien!$A:$A,1,FALSE))=TRUE,0,1)</f>
        <v>0</v>
      </c>
      <c r="CP5" s="28">
        <f>IF(ISNA(VLOOKUP(CM5,Feiertage!$A:$A,1,FALSE))=TRUE,0,1)</f>
        <v>0</v>
      </c>
      <c r="CQ5" s="28">
        <f>IF(ISNA(VLOOKUP(CM5,Termine!$A:$A,1,FALSE))=TRUE,0,1)</f>
        <v>0</v>
      </c>
      <c r="CR5" s="28" t="str">
        <f>IF(ISNA(VLOOKUP(CM5,Aufenthalte!$A:$B,2,FALSE))=TRUE,"",VLOOKUP(CM5,Aufenthalte!$A:$B,2,FALSE))</f>
        <v>Mama</v>
      </c>
      <c r="CS5" s="25">
        <f t="shared" si="25"/>
        <v>3</v>
      </c>
      <c r="CT5" s="26">
        <f t="shared" si="26"/>
        <v>43346</v>
      </c>
      <c r="CU5" s="24" t="str">
        <f t="shared" si="27"/>
        <v/>
      </c>
      <c r="CV5" s="54" t="str">
        <f>IF(ISNA(VLOOKUP(CM5,Aufenthalte!$A:$G,7,FALSE))=TRUE,"",VLOOKUP(CM5,Aufenthalte!$A:$G,7,FALSE))</f>
        <v xml:space="preserve">
</v>
      </c>
      <c r="CW5" s="7">
        <f t="shared" si="64"/>
        <v>36</v>
      </c>
      <c r="CX5" s="27">
        <f>DATE(Konfiguration!$B$2,10,$B5)</f>
        <v>43376</v>
      </c>
      <c r="CY5" s="28">
        <f t="shared" si="65"/>
        <v>0</v>
      </c>
      <c r="CZ5" s="28">
        <f>IF(ISNA(VLOOKUP(CX5,Ferien!$A:$A,1,FALSE))=TRUE,0,1)</f>
        <v>1</v>
      </c>
      <c r="DA5" s="28">
        <f>IF(ISNA(VLOOKUP(CX5,Feiertage!$A:$A,1,FALSE))=TRUE,0,1)</f>
        <v>1</v>
      </c>
      <c r="DB5" s="28">
        <f>IF(ISNA(VLOOKUP(CX5,Termine!$A:$A,1,FALSE))=TRUE,0,1)</f>
        <v>0</v>
      </c>
      <c r="DC5" s="28" t="str">
        <f>IF(ISNA(VLOOKUP(CX5,Aufenthalte!$A:$B,2,FALSE))=TRUE,"",VLOOKUP(CX5,Aufenthalte!$A:$B,2,FALSE))</f>
        <v>Mama</v>
      </c>
      <c r="DD5" s="25">
        <f t="shared" si="29"/>
        <v>3</v>
      </c>
      <c r="DE5" s="26">
        <f t="shared" si="30"/>
        <v>43376</v>
      </c>
      <c r="DF5" s="24" t="str">
        <f t="shared" si="31"/>
        <v/>
      </c>
      <c r="DG5" s="54" t="str">
        <f>IF(ISNA(VLOOKUP(CX5,Aufenthalte!$A:$G,7,FALSE))=TRUE,"",VLOOKUP(CX5,Aufenthalte!$A:$G,7,FALSE))</f>
        <v xml:space="preserve">
</v>
      </c>
      <c r="DH5" s="7" t="str">
        <f t="shared" si="66"/>
        <v/>
      </c>
      <c r="DI5" s="27">
        <f>DATE(Konfiguration!$B$2,11,$B5)</f>
        <v>43407</v>
      </c>
      <c r="DJ5" s="28">
        <f t="shared" si="67"/>
        <v>1</v>
      </c>
      <c r="DK5" s="28">
        <f>IF(ISNA(VLOOKUP(DI5,Ferien!$A:$A,1,FALSE))=TRUE,0,1)</f>
        <v>0</v>
      </c>
      <c r="DL5" s="28">
        <f>IF(ISNA(VLOOKUP(DI5,Feiertage!$A:$A,1,FALSE))=TRUE,0,1)</f>
        <v>0</v>
      </c>
      <c r="DM5" s="28">
        <f>IF(ISNA(VLOOKUP(DI5,Termine!$A:$A,1,FALSE))=TRUE,0,1)</f>
        <v>0</v>
      </c>
      <c r="DN5" s="28" t="str">
        <f>IF(ISNA(VLOOKUP(DI5,Aufenthalte!$A:$B,2,FALSE))=TRUE,"",VLOOKUP(DI5,Aufenthalte!$A:$B,2,FALSE))</f>
        <v>Mama</v>
      </c>
      <c r="DO5" s="25">
        <f t="shared" si="33"/>
        <v>3</v>
      </c>
      <c r="DP5" s="26">
        <f t="shared" si="34"/>
        <v>43407</v>
      </c>
      <c r="DQ5" s="24" t="str">
        <f t="shared" si="35"/>
        <v/>
      </c>
      <c r="DR5" s="54" t="str">
        <f>IF(ISNA(VLOOKUP(DI5,Aufenthalte!$A:$G,7,FALSE))=TRUE,"",VLOOKUP(DI5,Aufenthalte!$A:$G,7,FALSE))</f>
        <v xml:space="preserve">
</v>
      </c>
      <c r="DS5" s="7" t="str">
        <f t="shared" si="68"/>
        <v/>
      </c>
      <c r="DT5" s="27">
        <f>DATE(Konfiguration!$B$2,12,$B5)</f>
        <v>43437</v>
      </c>
      <c r="DU5" s="28">
        <f t="shared" si="69"/>
        <v>0</v>
      </c>
      <c r="DV5" s="28">
        <f>IF(ISNA(VLOOKUP(DT5,Ferien!$A:$A,1,FALSE))=TRUE,0,1)</f>
        <v>0</v>
      </c>
      <c r="DW5" s="28">
        <f>IF(ISNA(VLOOKUP(DT5,Feiertage!$A:$A,1,FALSE))=TRUE,0,1)</f>
        <v>0</v>
      </c>
      <c r="DX5" s="28">
        <f>IF(ISNA(VLOOKUP(DT5,Termine!$A:$A,1,FALSE))=TRUE,0,1)</f>
        <v>0</v>
      </c>
      <c r="DY5" s="28" t="str">
        <f>IF(ISNA(VLOOKUP(DT5,Aufenthalte!$A:$B,2,FALSE))=TRUE,"",VLOOKUP(DT5,Aufenthalte!$A:$B,2,FALSE))</f>
        <v>Mama</v>
      </c>
      <c r="DZ5" s="25">
        <f t="shared" si="37"/>
        <v>3</v>
      </c>
      <c r="EA5" s="26">
        <f t="shared" si="38"/>
        <v>43437</v>
      </c>
      <c r="EB5" s="24" t="str">
        <f t="shared" si="39"/>
        <v/>
      </c>
      <c r="EC5" s="54" t="str">
        <f>IF(ISNA(VLOOKUP(DT5,Aufenthalte!$A:$G,7,FALSE))=TRUE,"",VLOOKUP(DT5,Aufenthalte!$A:$G,7,FALSE))</f>
        <v xml:space="preserve">
</v>
      </c>
      <c r="ED5" s="7">
        <f t="shared" si="70"/>
        <v>49</v>
      </c>
      <c r="EE5" s="27">
        <f>DATE(Konfiguration!$B$2+1,1,$B5)</f>
        <v>43468</v>
      </c>
      <c r="EF5" s="28">
        <f t="shared" si="71"/>
        <v>0</v>
      </c>
      <c r="EG5" s="28">
        <f>IF(ISNA(VLOOKUP(EE5,Ferien!$A:$A,1,FALSE))=TRUE,0,1)</f>
        <v>1</v>
      </c>
      <c r="EH5" s="28">
        <f>IF(ISNA(VLOOKUP(EE5,Feiertage!$A:$A,1,FALSE))=TRUE,0,1)</f>
        <v>0</v>
      </c>
      <c r="EI5" s="28">
        <f>IF(ISNA(VLOOKUP(EE5,Termine!$A:$A,1,FALSE))=TRUE,0,1)</f>
        <v>0</v>
      </c>
      <c r="EJ5" s="28" t="str">
        <f>IF(ISNA(VLOOKUP(EE5,Aufenthalte!$A:$B,2,FALSE))=TRUE,"",VLOOKUP(EE5,Aufenthalte!$A:$B,2,FALSE))</f>
        <v>Mama</v>
      </c>
      <c r="EK5" s="25">
        <f t="shared" si="41"/>
        <v>3</v>
      </c>
      <c r="EL5" s="26">
        <f t="shared" si="42"/>
        <v>43468</v>
      </c>
      <c r="EM5" s="24" t="str">
        <f t="shared" si="43"/>
        <v/>
      </c>
      <c r="EN5" s="54" t="str">
        <f>IF(ISNA(VLOOKUP(EE5,Aufenthalte!$A:$G,7,FALSE))=TRUE,"",VLOOKUP(EE5,Aufenthalte!$A:$G,7,FALSE))</f>
        <v xml:space="preserve">
</v>
      </c>
      <c r="EO5" s="7" t="str">
        <f t="shared" si="72"/>
        <v/>
      </c>
    </row>
    <row r="6" spans="2:145" s="1" customFormat="1" ht="21" customHeight="1">
      <c r="B6" s="8">
        <v>4</v>
      </c>
      <c r="C6" s="27">
        <f>DATE(Konfiguration!$B$2,1,$B6)</f>
        <v>43104</v>
      </c>
      <c r="D6" s="28">
        <f t="shared" si="45"/>
        <v>0</v>
      </c>
      <c r="E6" s="28">
        <f>IF(ISNA(VLOOKUP(C6,Ferien!$A:$A,1,FALSE))=TRUE,0,1)</f>
        <v>1</v>
      </c>
      <c r="F6" s="28">
        <f>IF(ISNA(VLOOKUP(C6,Feiertage!$A:$A,1,FALSE))=TRUE,0,1)</f>
        <v>0</v>
      </c>
      <c r="G6" s="28">
        <f>IF(ISNA(VLOOKUP(C6,Termine!$A:$A,1,FALSE))=TRUE,0,1)</f>
        <v>0</v>
      </c>
      <c r="H6" s="28" t="str">
        <f>IF(ISNA(VLOOKUP(C6,Aufenthalte!$A:$B,2,FALSE))=TRUE,"",VLOOKUP(C6,Aufenthalte!$A:$B,2,FALSE))</f>
        <v>Papa</v>
      </c>
      <c r="I6" s="25">
        <f t="shared" si="46"/>
        <v>4</v>
      </c>
      <c r="J6" s="26">
        <f t="shared" si="0"/>
        <v>43104</v>
      </c>
      <c r="K6" s="24" t="str">
        <f t="shared" si="47"/>
        <v/>
      </c>
      <c r="L6" s="54" t="str">
        <f>IF(ISNA(VLOOKUP(C6,Aufenthalte!$A:$G,7,FALSE))=TRUE,"",VLOOKUP(C6,Aufenthalte!$A:$G,7,FALSE))</f>
        <v xml:space="preserve">
</v>
      </c>
      <c r="M6" s="7" t="str">
        <f>IF(TEXT(C6,"TTT")="Mo",WEEKNUM(C6),"")</f>
        <v/>
      </c>
      <c r="N6" s="27">
        <f>DATE(Konfiguration!$B$2,2,$B6)</f>
        <v>43135</v>
      </c>
      <c r="O6" s="28">
        <f t="shared" si="48"/>
        <v>1</v>
      </c>
      <c r="P6" s="28">
        <f>IF(ISNA(VLOOKUP(N6,Ferien!$A:$A,1,FALSE))=TRUE,0,1)</f>
        <v>0</v>
      </c>
      <c r="Q6" s="28">
        <f>IF(ISNA(VLOOKUP(N6,Feiertage!$A:$A,1,FALSE))=TRUE,0,1)</f>
        <v>0</v>
      </c>
      <c r="R6" s="28">
        <f>IF(ISNA(VLOOKUP(N6,Termine!$A:$A,1,FALSE))=TRUE,0,1)</f>
        <v>0</v>
      </c>
      <c r="S6" s="28" t="str">
        <f>IF(ISNA(VLOOKUP(N6,Aufenthalte!$A:$B,2,FALSE))=TRUE,"",VLOOKUP(N6,Aufenthalte!$A:$B,2,FALSE))</f>
        <v>Mama</v>
      </c>
      <c r="T6" s="25">
        <f t="shared" si="49"/>
        <v>4</v>
      </c>
      <c r="U6" s="26">
        <f t="shared" si="50"/>
        <v>43135</v>
      </c>
      <c r="V6" s="24" t="str">
        <f t="shared" si="2"/>
        <v/>
      </c>
      <c r="W6" s="54" t="str">
        <f>IF(ISNA(VLOOKUP(N6,Aufenthalte!$A:$G,7,FALSE))=TRUE,"",VLOOKUP(N6,Aufenthalte!$A:$G,7,FALSE))</f>
        <v xml:space="preserve">
</v>
      </c>
      <c r="X6" s="7" t="str">
        <f t="shared" si="51"/>
        <v/>
      </c>
      <c r="Y6" s="27">
        <f>DATE(Konfiguration!$B$2,3,$B6)</f>
        <v>43163</v>
      </c>
      <c r="Z6" s="28">
        <f t="shared" si="73"/>
        <v>1</v>
      </c>
      <c r="AA6" s="28">
        <f>IF(ISNA(VLOOKUP(Y6,Ferien!$A:$A,1,FALSE))=TRUE,0,1)</f>
        <v>0</v>
      </c>
      <c r="AB6" s="28">
        <f>IF(ISNA(VLOOKUP(Y6,Feiertage!$A:$A,1,FALSE))=TRUE,0,1)</f>
        <v>0</v>
      </c>
      <c r="AC6" s="28">
        <f>IF(ISNA(VLOOKUP(Y6,Termine!$A:$A,1,FALSE))=TRUE,0,1)</f>
        <v>0</v>
      </c>
      <c r="AD6" s="28" t="str">
        <f>IF(ISNA(VLOOKUP(Y6,Aufenthalte!$A:$B,2,FALSE))=TRUE,"",VLOOKUP(Y6,Aufenthalte!$A:$B,2,FALSE))</f>
        <v>Mama</v>
      </c>
      <c r="AE6" s="25">
        <f t="shared" si="74"/>
        <v>4</v>
      </c>
      <c r="AF6" s="26">
        <f t="shared" si="75"/>
        <v>43163</v>
      </c>
      <c r="AG6" s="24" t="str">
        <f t="shared" si="76"/>
        <v/>
      </c>
      <c r="AH6" s="54" t="str">
        <f>IF(ISNA(VLOOKUP(Y6,Aufenthalte!$A:$G,7,FALSE))=TRUE,"",VLOOKUP(Y6,Aufenthalte!$A:$G,7,FALSE))</f>
        <v xml:space="preserve">
</v>
      </c>
      <c r="AI6" s="7" t="str">
        <f t="shared" si="52"/>
        <v/>
      </c>
      <c r="AJ6" s="27">
        <f>DATE(Konfiguration!$B$2,4,$B6)</f>
        <v>43194</v>
      </c>
      <c r="AK6" s="28">
        <f t="shared" si="53"/>
        <v>0</v>
      </c>
      <c r="AL6" s="28">
        <f>IF(ISNA(VLOOKUP(AJ6,Ferien!$A:$A,1,FALSE))=TRUE,0,1)</f>
        <v>1</v>
      </c>
      <c r="AM6" s="28">
        <f>IF(ISNA(VLOOKUP(AJ6,Feiertage!$A:$A,1,FALSE))=TRUE,0,1)</f>
        <v>0</v>
      </c>
      <c r="AN6" s="28">
        <f>IF(ISNA(VLOOKUP(AJ6,Termine!$A:$A,1,FALSE))=TRUE,0,1)</f>
        <v>0</v>
      </c>
      <c r="AO6" s="28" t="str">
        <f>IF(ISNA(VLOOKUP(AJ6,Aufenthalte!$A:$B,2,FALSE))=TRUE,"",VLOOKUP(AJ6,Aufenthalte!$A:$B,2,FALSE))</f>
        <v>Mama</v>
      </c>
      <c r="AP6" s="25">
        <f t="shared" si="5"/>
        <v>4</v>
      </c>
      <c r="AQ6" s="26">
        <f t="shared" si="6"/>
        <v>43194</v>
      </c>
      <c r="AR6" s="24" t="str">
        <f t="shared" si="7"/>
        <v/>
      </c>
      <c r="AS6" s="54" t="str">
        <f>IF(ISNA(VLOOKUP(AJ6,Aufenthalte!$A:$G,7,FALSE))=TRUE,"",VLOOKUP(AJ6,Aufenthalte!$A:$G,7,FALSE))</f>
        <v xml:space="preserve">
</v>
      </c>
      <c r="AT6" s="7" t="str">
        <f t="shared" si="54"/>
        <v/>
      </c>
      <c r="AU6" s="27">
        <f>DATE(Konfiguration!$B$2,5,$B6)</f>
        <v>43224</v>
      </c>
      <c r="AV6" s="28">
        <f t="shared" si="55"/>
        <v>0</v>
      </c>
      <c r="AW6" s="28">
        <f>IF(ISNA(VLOOKUP(AU6,Ferien!$A:$A,1,FALSE))=TRUE,0,1)</f>
        <v>0</v>
      </c>
      <c r="AX6" s="28">
        <f>IF(ISNA(VLOOKUP(AU6,Feiertage!$A:$A,1,FALSE))=TRUE,0,1)</f>
        <v>0</v>
      </c>
      <c r="AY6" s="28">
        <f>IF(ISNA(VLOOKUP(AU6,Termine!$A:$A,1,FALSE))=TRUE,0,1)</f>
        <v>0</v>
      </c>
      <c r="AZ6" s="28" t="str">
        <f>IF(ISNA(VLOOKUP(AU6,Aufenthalte!$A:$B,2,FALSE))=TRUE,"",VLOOKUP(AU6,Aufenthalte!$A:$B,2,FALSE))</f>
        <v>Mama</v>
      </c>
      <c r="BA6" s="25">
        <f t="shared" si="9"/>
        <v>4</v>
      </c>
      <c r="BB6" s="26">
        <f t="shared" si="10"/>
        <v>43224</v>
      </c>
      <c r="BC6" s="24" t="str">
        <f t="shared" si="11"/>
        <v/>
      </c>
      <c r="BD6" s="54" t="str">
        <f>IF(ISNA(VLOOKUP(AU6,Aufenthalte!$A:$G,7,FALSE))=TRUE,"",VLOOKUP(AU6,Aufenthalte!$A:$G,7,FALSE))</f>
        <v xml:space="preserve">
</v>
      </c>
      <c r="BE6" s="7" t="str">
        <f t="shared" si="56"/>
        <v/>
      </c>
      <c r="BF6" s="27">
        <f>DATE(Konfiguration!$B$2,6,$B6)</f>
        <v>43255</v>
      </c>
      <c r="BG6" s="28">
        <f t="shared" si="57"/>
        <v>0</v>
      </c>
      <c r="BH6" s="28">
        <f>IF(ISNA(VLOOKUP(BF6,Ferien!$A:$A,1,FALSE))=TRUE,0,1)</f>
        <v>0</v>
      </c>
      <c r="BI6" s="28">
        <f>IF(ISNA(VLOOKUP(BF6,Feiertage!$A:$A,1,FALSE))=TRUE,0,1)</f>
        <v>0</v>
      </c>
      <c r="BJ6" s="28">
        <f>IF(ISNA(VLOOKUP(BF6,Termine!$A:$A,1,FALSE))=TRUE,0,1)</f>
        <v>0</v>
      </c>
      <c r="BK6" s="28" t="str">
        <f>IF(ISNA(VLOOKUP(BF6,Aufenthalte!$A:$B,2,FALSE))=TRUE,"",VLOOKUP(BF6,Aufenthalte!$A:$B,2,FALSE))</f>
        <v>Mama</v>
      </c>
      <c r="BL6" s="25">
        <f t="shared" si="13"/>
        <v>4</v>
      </c>
      <c r="BM6" s="26">
        <f t="shared" si="14"/>
        <v>43255</v>
      </c>
      <c r="BN6" s="24" t="str">
        <f t="shared" si="15"/>
        <v/>
      </c>
      <c r="BO6" s="54" t="str">
        <f>IF(ISNA(VLOOKUP(BF6,Aufenthalte!$A:$G,7,FALSE))=TRUE,"",VLOOKUP(BF6,Aufenthalte!$A:$G,7,FALSE))</f>
        <v xml:space="preserve">
</v>
      </c>
      <c r="BP6" s="7">
        <f t="shared" si="58"/>
        <v>23</v>
      </c>
      <c r="BQ6" s="27">
        <f>DATE(Konfiguration!$B$2,7,$B6)</f>
        <v>43285</v>
      </c>
      <c r="BR6" s="28">
        <f t="shared" si="59"/>
        <v>0</v>
      </c>
      <c r="BS6" s="28">
        <f>IF(ISNA(VLOOKUP(BQ6,Ferien!$A:$A,1,FALSE))=TRUE,0,1)</f>
        <v>1</v>
      </c>
      <c r="BT6" s="28">
        <f>IF(ISNA(VLOOKUP(BQ6,Feiertage!$A:$A,1,FALSE))=TRUE,0,1)</f>
        <v>0</v>
      </c>
      <c r="BU6" s="28">
        <f>IF(ISNA(VLOOKUP(BQ6,Termine!$A:$A,1,FALSE))=TRUE,0,1)</f>
        <v>0</v>
      </c>
      <c r="BV6" s="28" t="str">
        <f>IF(ISNA(VLOOKUP(BQ6,Aufenthalte!$A:$B,2,FALSE))=TRUE,"",VLOOKUP(BQ6,Aufenthalte!$A:$B,2,FALSE))</f>
        <v>Mama</v>
      </c>
      <c r="BW6" s="25">
        <f t="shared" si="17"/>
        <v>4</v>
      </c>
      <c r="BX6" s="26">
        <f t="shared" si="18"/>
        <v>43285</v>
      </c>
      <c r="BY6" s="24" t="str">
        <f t="shared" si="19"/>
        <v/>
      </c>
      <c r="BZ6" s="54" t="str">
        <f>IF(ISNA(VLOOKUP(BQ6,Aufenthalte!$A:$G,7,FALSE))=TRUE,"",VLOOKUP(BQ6,Aufenthalte!$A:$G,7,FALSE))</f>
        <v xml:space="preserve">
</v>
      </c>
      <c r="CA6" s="7" t="str">
        <f t="shared" si="60"/>
        <v/>
      </c>
      <c r="CB6" s="27">
        <f>DATE(Konfiguration!$B$2,8,$B6)</f>
        <v>43316</v>
      </c>
      <c r="CC6" s="28">
        <f t="shared" si="61"/>
        <v>1</v>
      </c>
      <c r="CD6" s="28">
        <f>IF(ISNA(VLOOKUP(CB6,Ferien!$A:$A,1,FALSE))=TRUE,0,1)</f>
        <v>0</v>
      </c>
      <c r="CE6" s="28">
        <f>IF(ISNA(VLOOKUP(CB6,Feiertage!$A:$A,1,FALSE))=TRUE,0,1)</f>
        <v>0</v>
      </c>
      <c r="CF6" s="28">
        <f>IF(ISNA(VLOOKUP(CB6,Termine!$A:$A,1,FALSE))=TRUE,0,1)</f>
        <v>0</v>
      </c>
      <c r="CG6" s="28" t="str">
        <f>IF(ISNA(VLOOKUP(CB6,Aufenthalte!$A:$B,2,FALSE))=TRUE,"",VLOOKUP(CB6,Aufenthalte!$A:$B,2,FALSE))</f>
        <v>Mama</v>
      </c>
      <c r="CH6" s="25">
        <f t="shared" si="21"/>
        <v>4</v>
      </c>
      <c r="CI6" s="26">
        <f t="shared" si="22"/>
        <v>43316</v>
      </c>
      <c r="CJ6" s="24" t="str">
        <f t="shared" si="23"/>
        <v/>
      </c>
      <c r="CK6" s="54" t="str">
        <f>IF(ISNA(VLOOKUP(CB6,Aufenthalte!$A:$G,7,FALSE))=TRUE,"",VLOOKUP(CB6,Aufenthalte!$A:$G,7,FALSE))</f>
        <v xml:space="preserve">
</v>
      </c>
      <c r="CL6" s="7" t="str">
        <f t="shared" si="62"/>
        <v/>
      </c>
      <c r="CM6" s="27">
        <f>DATE(Konfiguration!$B$2,9,$B6)</f>
        <v>43347</v>
      </c>
      <c r="CN6" s="28">
        <f t="shared" si="63"/>
        <v>0</v>
      </c>
      <c r="CO6" s="28">
        <f>IF(ISNA(VLOOKUP(CM6,Ferien!$A:$A,1,FALSE))=TRUE,0,1)</f>
        <v>0</v>
      </c>
      <c r="CP6" s="28">
        <f>IF(ISNA(VLOOKUP(CM6,Feiertage!$A:$A,1,FALSE))=TRUE,0,1)</f>
        <v>0</v>
      </c>
      <c r="CQ6" s="28">
        <f>IF(ISNA(VLOOKUP(CM6,Termine!$A:$A,1,FALSE))=TRUE,0,1)</f>
        <v>0</v>
      </c>
      <c r="CR6" s="28" t="str">
        <f>IF(ISNA(VLOOKUP(CM6,Aufenthalte!$A:$B,2,FALSE))=TRUE,"",VLOOKUP(CM6,Aufenthalte!$A:$B,2,FALSE))</f>
        <v>Mama</v>
      </c>
      <c r="CS6" s="25">
        <f t="shared" si="25"/>
        <v>4</v>
      </c>
      <c r="CT6" s="26">
        <f t="shared" si="26"/>
        <v>43347</v>
      </c>
      <c r="CU6" s="24" t="str">
        <f t="shared" si="27"/>
        <v/>
      </c>
      <c r="CV6" s="54" t="str">
        <f>IF(ISNA(VLOOKUP(CM6,Aufenthalte!$A:$G,7,FALSE))=TRUE,"",VLOOKUP(CM6,Aufenthalte!$A:$G,7,FALSE))</f>
        <v xml:space="preserve">
</v>
      </c>
      <c r="CW6" s="7" t="str">
        <f t="shared" si="64"/>
        <v/>
      </c>
      <c r="CX6" s="27">
        <f>DATE(Konfiguration!$B$2,10,$B6)</f>
        <v>43377</v>
      </c>
      <c r="CY6" s="28">
        <f t="shared" si="65"/>
        <v>0</v>
      </c>
      <c r="CZ6" s="28">
        <f>IF(ISNA(VLOOKUP(CX6,Ferien!$A:$A,1,FALSE))=TRUE,0,1)</f>
        <v>1</v>
      </c>
      <c r="DA6" s="28">
        <f>IF(ISNA(VLOOKUP(CX6,Feiertage!$A:$A,1,FALSE))=TRUE,0,1)</f>
        <v>0</v>
      </c>
      <c r="DB6" s="28">
        <f>IF(ISNA(VLOOKUP(CX6,Termine!$A:$A,1,FALSE))=TRUE,0,1)</f>
        <v>0</v>
      </c>
      <c r="DC6" s="28" t="str">
        <f>IF(ISNA(VLOOKUP(CX6,Aufenthalte!$A:$B,2,FALSE))=TRUE,"",VLOOKUP(CX6,Aufenthalte!$A:$B,2,FALSE))</f>
        <v>Mama</v>
      </c>
      <c r="DD6" s="25">
        <f t="shared" si="29"/>
        <v>4</v>
      </c>
      <c r="DE6" s="26">
        <f t="shared" si="30"/>
        <v>43377</v>
      </c>
      <c r="DF6" s="24" t="str">
        <f t="shared" si="31"/>
        <v/>
      </c>
      <c r="DG6" s="54" t="str">
        <f>IF(ISNA(VLOOKUP(CX6,Aufenthalte!$A:$G,7,FALSE))=TRUE,"",VLOOKUP(CX6,Aufenthalte!$A:$G,7,FALSE))</f>
        <v xml:space="preserve">
</v>
      </c>
      <c r="DH6" s="7" t="str">
        <f t="shared" si="66"/>
        <v/>
      </c>
      <c r="DI6" s="27">
        <f>DATE(Konfiguration!$B$2,11,$B6)</f>
        <v>43408</v>
      </c>
      <c r="DJ6" s="28">
        <f t="shared" si="67"/>
        <v>1</v>
      </c>
      <c r="DK6" s="28">
        <f>IF(ISNA(VLOOKUP(DI6,Ferien!$A:$A,1,FALSE))=TRUE,0,1)</f>
        <v>0</v>
      </c>
      <c r="DL6" s="28">
        <f>IF(ISNA(VLOOKUP(DI6,Feiertage!$A:$A,1,FALSE))=TRUE,0,1)</f>
        <v>0</v>
      </c>
      <c r="DM6" s="28">
        <f>IF(ISNA(VLOOKUP(DI6,Termine!$A:$A,1,FALSE))=TRUE,0,1)</f>
        <v>0</v>
      </c>
      <c r="DN6" s="28" t="str">
        <f>IF(ISNA(VLOOKUP(DI6,Aufenthalte!$A:$B,2,FALSE))=TRUE,"",VLOOKUP(DI6,Aufenthalte!$A:$B,2,FALSE))</f>
        <v>Mama</v>
      </c>
      <c r="DO6" s="25">
        <f t="shared" si="33"/>
        <v>4</v>
      </c>
      <c r="DP6" s="26">
        <f t="shared" si="34"/>
        <v>43408</v>
      </c>
      <c r="DQ6" s="24" t="str">
        <f t="shared" si="35"/>
        <v/>
      </c>
      <c r="DR6" s="54" t="str">
        <f>IF(ISNA(VLOOKUP(DI6,Aufenthalte!$A:$G,7,FALSE))=TRUE,"",VLOOKUP(DI6,Aufenthalte!$A:$G,7,FALSE))</f>
        <v xml:space="preserve">
</v>
      </c>
      <c r="DS6" s="7" t="str">
        <f t="shared" si="68"/>
        <v/>
      </c>
      <c r="DT6" s="27">
        <f>DATE(Konfiguration!$B$2,12,$B6)</f>
        <v>43438</v>
      </c>
      <c r="DU6" s="28">
        <f t="shared" si="69"/>
        <v>0</v>
      </c>
      <c r="DV6" s="28">
        <f>IF(ISNA(VLOOKUP(DT6,Ferien!$A:$A,1,FALSE))=TRUE,0,1)</f>
        <v>0</v>
      </c>
      <c r="DW6" s="28">
        <f>IF(ISNA(VLOOKUP(DT6,Feiertage!$A:$A,1,FALSE))=TRUE,0,1)</f>
        <v>0</v>
      </c>
      <c r="DX6" s="28">
        <f>IF(ISNA(VLOOKUP(DT6,Termine!$A:$A,1,FALSE))=TRUE,0,1)</f>
        <v>0</v>
      </c>
      <c r="DY6" s="28" t="str">
        <f>IF(ISNA(VLOOKUP(DT6,Aufenthalte!$A:$B,2,FALSE))=TRUE,"",VLOOKUP(DT6,Aufenthalte!$A:$B,2,FALSE))</f>
        <v>Mama</v>
      </c>
      <c r="DZ6" s="25">
        <f t="shared" si="37"/>
        <v>4</v>
      </c>
      <c r="EA6" s="26">
        <f t="shared" si="38"/>
        <v>43438</v>
      </c>
      <c r="EB6" s="24" t="str">
        <f t="shared" si="39"/>
        <v/>
      </c>
      <c r="EC6" s="54" t="str">
        <f>IF(ISNA(VLOOKUP(DT6,Aufenthalte!$A:$G,7,FALSE))=TRUE,"",VLOOKUP(DT6,Aufenthalte!$A:$G,7,FALSE))</f>
        <v xml:space="preserve">
</v>
      </c>
      <c r="ED6" s="7" t="str">
        <f t="shared" si="70"/>
        <v/>
      </c>
      <c r="EE6" s="27">
        <f>DATE(Konfiguration!$B$2+1,1,$B6)</f>
        <v>43469</v>
      </c>
      <c r="EF6" s="28">
        <f t="shared" si="71"/>
        <v>0</v>
      </c>
      <c r="EG6" s="28">
        <f>IF(ISNA(VLOOKUP(EE6,Ferien!$A:$A,1,FALSE))=TRUE,0,1)</f>
        <v>1</v>
      </c>
      <c r="EH6" s="28">
        <f>IF(ISNA(VLOOKUP(EE6,Feiertage!$A:$A,1,FALSE))=TRUE,0,1)</f>
        <v>0</v>
      </c>
      <c r="EI6" s="28">
        <f>IF(ISNA(VLOOKUP(EE6,Termine!$A:$A,1,FALSE))=TRUE,0,1)</f>
        <v>0</v>
      </c>
      <c r="EJ6" s="28" t="str">
        <f>IF(ISNA(VLOOKUP(EE6,Aufenthalte!$A:$B,2,FALSE))=TRUE,"",VLOOKUP(EE6,Aufenthalte!$A:$B,2,FALSE))</f>
        <v>Mama</v>
      </c>
      <c r="EK6" s="25">
        <f t="shared" si="41"/>
        <v>4</v>
      </c>
      <c r="EL6" s="26">
        <f t="shared" si="42"/>
        <v>43469</v>
      </c>
      <c r="EM6" s="24" t="str">
        <f t="shared" si="43"/>
        <v/>
      </c>
      <c r="EN6" s="54" t="str">
        <f>IF(ISNA(VLOOKUP(EE6,Aufenthalte!$A:$G,7,FALSE))=TRUE,"",VLOOKUP(EE6,Aufenthalte!$A:$G,7,FALSE))</f>
        <v xml:space="preserve">
</v>
      </c>
      <c r="EO6" s="7" t="str">
        <f t="shared" si="72"/>
        <v/>
      </c>
    </row>
    <row r="7" spans="2:145" s="1" customFormat="1" ht="21" customHeight="1">
      <c r="B7" s="8">
        <v>5</v>
      </c>
      <c r="C7" s="27">
        <f>DATE(Konfiguration!$B$2,1,$B7)</f>
        <v>43105</v>
      </c>
      <c r="D7" s="28">
        <f t="shared" si="45"/>
        <v>0</v>
      </c>
      <c r="E7" s="28">
        <f>IF(ISNA(VLOOKUP(C7,Ferien!$A:$A,1,FALSE))=TRUE,0,1)</f>
        <v>1</v>
      </c>
      <c r="F7" s="28">
        <f>IF(ISNA(VLOOKUP(C7,Feiertage!$A:$A,1,FALSE))=TRUE,0,1)</f>
        <v>0</v>
      </c>
      <c r="G7" s="28">
        <f>IF(ISNA(VLOOKUP(C7,Termine!$A:$A,1,FALSE))=TRUE,0,1)</f>
        <v>0</v>
      </c>
      <c r="H7" s="28" t="str">
        <f>IF(ISNA(VLOOKUP(C7,Aufenthalte!$A:$B,2,FALSE))=TRUE,"",VLOOKUP(C7,Aufenthalte!$A:$B,2,FALSE))</f>
        <v>Papa</v>
      </c>
      <c r="I7" s="25">
        <f t="shared" si="46"/>
        <v>5</v>
      </c>
      <c r="J7" s="26">
        <f t="shared" si="0"/>
        <v>43105</v>
      </c>
      <c r="K7" s="24" t="str">
        <f t="shared" si="47"/>
        <v/>
      </c>
      <c r="L7" s="54" t="str">
        <f>IF(ISNA(VLOOKUP(C7,Aufenthalte!$A:$G,7,FALSE))=TRUE,"",VLOOKUP(C7,Aufenthalte!$A:$G,7,FALSE))</f>
        <v xml:space="preserve">
</v>
      </c>
      <c r="M7" s="7" t="str">
        <f t="shared" ref="M7:M33" si="77">IF(TEXT(C7,"TTT")="Mo",WEEKNUM(C7),"")</f>
        <v/>
      </c>
      <c r="N7" s="27">
        <f>DATE(Konfiguration!$B$2,2,$B7)</f>
        <v>43136</v>
      </c>
      <c r="O7" s="28">
        <f t="shared" si="48"/>
        <v>0</v>
      </c>
      <c r="P7" s="28">
        <f>IF(ISNA(VLOOKUP(N7,Ferien!$A:$A,1,FALSE))=TRUE,0,1)</f>
        <v>0</v>
      </c>
      <c r="Q7" s="28">
        <f>IF(ISNA(VLOOKUP(N7,Feiertage!$A:$A,1,FALSE))=TRUE,0,1)</f>
        <v>0</v>
      </c>
      <c r="R7" s="28">
        <f>IF(ISNA(VLOOKUP(N7,Termine!$A:$A,1,FALSE))=TRUE,0,1)</f>
        <v>0</v>
      </c>
      <c r="S7" s="28" t="str">
        <f>IF(ISNA(VLOOKUP(N7,Aufenthalte!$A:$B,2,FALSE))=TRUE,"",VLOOKUP(N7,Aufenthalte!$A:$B,2,FALSE))</f>
        <v>Mama</v>
      </c>
      <c r="T7" s="25">
        <f t="shared" si="49"/>
        <v>5</v>
      </c>
      <c r="U7" s="26">
        <f t="shared" si="50"/>
        <v>43136</v>
      </c>
      <c r="V7" s="24" t="str">
        <f t="shared" si="2"/>
        <v/>
      </c>
      <c r="W7" s="54" t="str">
        <f>IF(ISNA(VLOOKUP(N7,Aufenthalte!$A:$G,7,FALSE))=TRUE,"",VLOOKUP(N7,Aufenthalte!$A:$G,7,FALSE))</f>
        <v xml:space="preserve">
</v>
      </c>
      <c r="X7" s="7">
        <f t="shared" si="51"/>
        <v>6</v>
      </c>
      <c r="Y7" s="27">
        <f>DATE(Konfiguration!$B$2,3,$B7)</f>
        <v>43164</v>
      </c>
      <c r="Z7" s="28">
        <f t="shared" si="73"/>
        <v>0</v>
      </c>
      <c r="AA7" s="28">
        <f>IF(ISNA(VLOOKUP(Y7,Ferien!$A:$A,1,FALSE))=TRUE,0,1)</f>
        <v>0</v>
      </c>
      <c r="AB7" s="28">
        <f>IF(ISNA(VLOOKUP(Y7,Feiertage!$A:$A,1,FALSE))=TRUE,0,1)</f>
        <v>0</v>
      </c>
      <c r="AC7" s="28">
        <f>IF(ISNA(VLOOKUP(Y7,Termine!$A:$A,1,FALSE))=TRUE,0,1)</f>
        <v>0</v>
      </c>
      <c r="AD7" s="28" t="str">
        <f>IF(ISNA(VLOOKUP(Y7,Aufenthalte!$A:$B,2,FALSE))=TRUE,"",VLOOKUP(Y7,Aufenthalte!$A:$B,2,FALSE))</f>
        <v>Mama</v>
      </c>
      <c r="AE7" s="25">
        <f t="shared" si="74"/>
        <v>5</v>
      </c>
      <c r="AF7" s="26">
        <f t="shared" si="75"/>
        <v>43164</v>
      </c>
      <c r="AG7" s="24" t="str">
        <f t="shared" si="76"/>
        <v/>
      </c>
      <c r="AH7" s="54" t="str">
        <f>IF(ISNA(VLOOKUP(Y7,Aufenthalte!$A:$G,7,FALSE))=TRUE,"",VLOOKUP(Y7,Aufenthalte!$A:$G,7,FALSE))</f>
        <v xml:space="preserve">
</v>
      </c>
      <c r="AI7" s="7">
        <f t="shared" si="52"/>
        <v>10</v>
      </c>
      <c r="AJ7" s="27">
        <f>DATE(Konfiguration!$B$2,4,$B7)</f>
        <v>43195</v>
      </c>
      <c r="AK7" s="28">
        <f t="shared" si="53"/>
        <v>0</v>
      </c>
      <c r="AL7" s="28">
        <f>IF(ISNA(VLOOKUP(AJ7,Ferien!$A:$A,1,FALSE))=TRUE,0,1)</f>
        <v>1</v>
      </c>
      <c r="AM7" s="28">
        <f>IF(ISNA(VLOOKUP(AJ7,Feiertage!$A:$A,1,FALSE))=TRUE,0,1)</f>
        <v>0</v>
      </c>
      <c r="AN7" s="28">
        <f>IF(ISNA(VLOOKUP(AJ7,Termine!$A:$A,1,FALSE))=TRUE,0,1)</f>
        <v>0</v>
      </c>
      <c r="AO7" s="28" t="str">
        <f>IF(ISNA(VLOOKUP(AJ7,Aufenthalte!$A:$B,2,FALSE))=TRUE,"",VLOOKUP(AJ7,Aufenthalte!$A:$B,2,FALSE))</f>
        <v>Mama</v>
      </c>
      <c r="AP7" s="25">
        <f t="shared" si="5"/>
        <v>5</v>
      </c>
      <c r="AQ7" s="26">
        <f t="shared" si="6"/>
        <v>43195</v>
      </c>
      <c r="AR7" s="24" t="str">
        <f t="shared" si="7"/>
        <v/>
      </c>
      <c r="AS7" s="54" t="str">
        <f>IF(ISNA(VLOOKUP(AJ7,Aufenthalte!$A:$G,7,FALSE))=TRUE,"",VLOOKUP(AJ7,Aufenthalte!$A:$G,7,FALSE))</f>
        <v xml:space="preserve">
</v>
      </c>
      <c r="AT7" s="7" t="str">
        <f t="shared" si="54"/>
        <v/>
      </c>
      <c r="AU7" s="27">
        <f>DATE(Konfiguration!$B$2,5,$B7)</f>
        <v>43225</v>
      </c>
      <c r="AV7" s="28">
        <f t="shared" si="55"/>
        <v>1</v>
      </c>
      <c r="AW7" s="28">
        <f>IF(ISNA(VLOOKUP(AU7,Ferien!$A:$A,1,FALSE))=TRUE,0,1)</f>
        <v>0</v>
      </c>
      <c r="AX7" s="28">
        <f>IF(ISNA(VLOOKUP(AU7,Feiertage!$A:$A,1,FALSE))=TRUE,0,1)</f>
        <v>0</v>
      </c>
      <c r="AY7" s="28">
        <f>IF(ISNA(VLOOKUP(AU7,Termine!$A:$A,1,FALSE))=TRUE,0,1)</f>
        <v>0</v>
      </c>
      <c r="AZ7" s="28" t="str">
        <f>IF(ISNA(VLOOKUP(AU7,Aufenthalte!$A:$B,2,FALSE))=TRUE,"",VLOOKUP(AU7,Aufenthalte!$A:$B,2,FALSE))</f>
        <v>Mama</v>
      </c>
      <c r="BA7" s="25">
        <f t="shared" si="9"/>
        <v>5</v>
      </c>
      <c r="BB7" s="26">
        <f t="shared" si="10"/>
        <v>43225</v>
      </c>
      <c r="BC7" s="24" t="str">
        <f t="shared" si="11"/>
        <v/>
      </c>
      <c r="BD7" s="54" t="str">
        <f>IF(ISNA(VLOOKUP(AU7,Aufenthalte!$A:$G,7,FALSE))=TRUE,"",VLOOKUP(AU7,Aufenthalte!$A:$G,7,FALSE))</f>
        <v xml:space="preserve">
</v>
      </c>
      <c r="BE7" s="7" t="str">
        <f t="shared" si="56"/>
        <v/>
      </c>
      <c r="BF7" s="27">
        <f>DATE(Konfiguration!$B$2,6,$B7)</f>
        <v>43256</v>
      </c>
      <c r="BG7" s="28">
        <f t="shared" si="57"/>
        <v>0</v>
      </c>
      <c r="BH7" s="28">
        <f>IF(ISNA(VLOOKUP(BF7,Ferien!$A:$A,1,FALSE))=TRUE,0,1)</f>
        <v>0</v>
      </c>
      <c r="BI7" s="28">
        <f>IF(ISNA(VLOOKUP(BF7,Feiertage!$A:$A,1,FALSE))=TRUE,0,1)</f>
        <v>0</v>
      </c>
      <c r="BJ7" s="28">
        <f>IF(ISNA(VLOOKUP(BF7,Termine!$A:$A,1,FALSE))=TRUE,0,1)</f>
        <v>0</v>
      </c>
      <c r="BK7" s="28" t="str">
        <f>IF(ISNA(VLOOKUP(BF7,Aufenthalte!$A:$B,2,FALSE))=TRUE,"",VLOOKUP(BF7,Aufenthalte!$A:$B,2,FALSE))</f>
        <v>Mama</v>
      </c>
      <c r="BL7" s="25">
        <f t="shared" si="13"/>
        <v>5</v>
      </c>
      <c r="BM7" s="26">
        <f t="shared" si="14"/>
        <v>43256</v>
      </c>
      <c r="BN7" s="24" t="str">
        <f t="shared" si="15"/>
        <v/>
      </c>
      <c r="BO7" s="54" t="str">
        <f>IF(ISNA(VLOOKUP(BF7,Aufenthalte!$A:$G,7,FALSE))=TRUE,"",VLOOKUP(BF7,Aufenthalte!$A:$G,7,FALSE))</f>
        <v xml:space="preserve">
</v>
      </c>
      <c r="BP7" s="7" t="str">
        <f t="shared" si="58"/>
        <v/>
      </c>
      <c r="BQ7" s="27">
        <f>DATE(Konfiguration!$B$2,7,$B7)</f>
        <v>43286</v>
      </c>
      <c r="BR7" s="28">
        <f t="shared" si="59"/>
        <v>0</v>
      </c>
      <c r="BS7" s="28">
        <f>IF(ISNA(VLOOKUP(BQ7,Ferien!$A:$A,1,FALSE))=TRUE,0,1)</f>
        <v>1</v>
      </c>
      <c r="BT7" s="28">
        <f>IF(ISNA(VLOOKUP(BQ7,Feiertage!$A:$A,1,FALSE))=TRUE,0,1)</f>
        <v>0</v>
      </c>
      <c r="BU7" s="28">
        <f>IF(ISNA(VLOOKUP(BQ7,Termine!$A:$A,1,FALSE))=TRUE,0,1)</f>
        <v>0</v>
      </c>
      <c r="BV7" s="28" t="str">
        <f>IF(ISNA(VLOOKUP(BQ7,Aufenthalte!$A:$B,2,FALSE))=TRUE,"",VLOOKUP(BQ7,Aufenthalte!$A:$B,2,FALSE))</f>
        <v>Mama</v>
      </c>
      <c r="BW7" s="25">
        <f t="shared" si="17"/>
        <v>5</v>
      </c>
      <c r="BX7" s="26">
        <f t="shared" si="18"/>
        <v>43286</v>
      </c>
      <c r="BY7" s="24" t="str">
        <f t="shared" si="19"/>
        <v/>
      </c>
      <c r="BZ7" s="54" t="str">
        <f>IF(ISNA(VLOOKUP(BQ7,Aufenthalte!$A:$G,7,FALSE))=TRUE,"",VLOOKUP(BQ7,Aufenthalte!$A:$G,7,FALSE))</f>
        <v xml:space="preserve">
</v>
      </c>
      <c r="CA7" s="7" t="str">
        <f t="shared" si="60"/>
        <v/>
      </c>
      <c r="CB7" s="27">
        <f>DATE(Konfiguration!$B$2,8,$B7)</f>
        <v>43317</v>
      </c>
      <c r="CC7" s="28">
        <f t="shared" si="61"/>
        <v>1</v>
      </c>
      <c r="CD7" s="28">
        <f>IF(ISNA(VLOOKUP(CB7,Ferien!$A:$A,1,FALSE))=TRUE,0,1)</f>
        <v>0</v>
      </c>
      <c r="CE7" s="28">
        <f>IF(ISNA(VLOOKUP(CB7,Feiertage!$A:$A,1,FALSE))=TRUE,0,1)</f>
        <v>0</v>
      </c>
      <c r="CF7" s="28">
        <f>IF(ISNA(VLOOKUP(CB7,Termine!$A:$A,1,FALSE))=TRUE,0,1)</f>
        <v>0</v>
      </c>
      <c r="CG7" s="28" t="str">
        <f>IF(ISNA(VLOOKUP(CB7,Aufenthalte!$A:$B,2,FALSE))=TRUE,"",VLOOKUP(CB7,Aufenthalte!$A:$B,2,FALSE))</f>
        <v>Mama</v>
      </c>
      <c r="CH7" s="25">
        <f t="shared" si="21"/>
        <v>5</v>
      </c>
      <c r="CI7" s="26">
        <f t="shared" si="22"/>
        <v>43317</v>
      </c>
      <c r="CJ7" s="24" t="str">
        <f t="shared" si="23"/>
        <v/>
      </c>
      <c r="CK7" s="54" t="str">
        <f>IF(ISNA(VLOOKUP(CB7,Aufenthalte!$A:$G,7,FALSE))=TRUE,"",VLOOKUP(CB7,Aufenthalte!$A:$G,7,FALSE))</f>
        <v xml:space="preserve">
</v>
      </c>
      <c r="CL7" s="7" t="str">
        <f t="shared" si="62"/>
        <v/>
      </c>
      <c r="CM7" s="27">
        <f>DATE(Konfiguration!$B$2,9,$B7)</f>
        <v>43348</v>
      </c>
      <c r="CN7" s="28">
        <f t="shared" si="63"/>
        <v>0</v>
      </c>
      <c r="CO7" s="28">
        <f>IF(ISNA(VLOOKUP(CM7,Ferien!$A:$A,1,FALSE))=TRUE,0,1)</f>
        <v>0</v>
      </c>
      <c r="CP7" s="28">
        <f>IF(ISNA(VLOOKUP(CM7,Feiertage!$A:$A,1,FALSE))=TRUE,0,1)</f>
        <v>0</v>
      </c>
      <c r="CQ7" s="28">
        <f>IF(ISNA(VLOOKUP(CM7,Termine!$A:$A,1,FALSE))=TRUE,0,1)</f>
        <v>0</v>
      </c>
      <c r="CR7" s="28" t="str">
        <f>IF(ISNA(VLOOKUP(CM7,Aufenthalte!$A:$B,2,FALSE))=TRUE,"",VLOOKUP(CM7,Aufenthalte!$A:$B,2,FALSE))</f>
        <v>Mama</v>
      </c>
      <c r="CS7" s="25">
        <f t="shared" si="25"/>
        <v>5</v>
      </c>
      <c r="CT7" s="26">
        <f t="shared" si="26"/>
        <v>43348</v>
      </c>
      <c r="CU7" s="24" t="str">
        <f t="shared" si="27"/>
        <v/>
      </c>
      <c r="CV7" s="54" t="str">
        <f>IF(ISNA(VLOOKUP(CM7,Aufenthalte!$A:$G,7,FALSE))=TRUE,"",VLOOKUP(CM7,Aufenthalte!$A:$G,7,FALSE))</f>
        <v xml:space="preserve">
</v>
      </c>
      <c r="CW7" s="7" t="str">
        <f t="shared" si="64"/>
        <v/>
      </c>
      <c r="CX7" s="27">
        <f>DATE(Konfiguration!$B$2,10,$B7)</f>
        <v>43378</v>
      </c>
      <c r="CY7" s="28">
        <f t="shared" si="65"/>
        <v>0</v>
      </c>
      <c r="CZ7" s="28">
        <f>IF(ISNA(VLOOKUP(CX7,Ferien!$A:$A,1,FALSE))=TRUE,0,1)</f>
        <v>1</v>
      </c>
      <c r="DA7" s="28">
        <f>IF(ISNA(VLOOKUP(CX7,Feiertage!$A:$A,1,FALSE))=TRUE,0,1)</f>
        <v>0</v>
      </c>
      <c r="DB7" s="28">
        <f>IF(ISNA(VLOOKUP(CX7,Termine!$A:$A,1,FALSE))=TRUE,0,1)</f>
        <v>0</v>
      </c>
      <c r="DC7" s="28" t="str">
        <f>IF(ISNA(VLOOKUP(CX7,Aufenthalte!$A:$B,2,FALSE))=TRUE,"",VLOOKUP(CX7,Aufenthalte!$A:$B,2,FALSE))</f>
        <v>Mama</v>
      </c>
      <c r="DD7" s="25">
        <f t="shared" si="29"/>
        <v>5</v>
      </c>
      <c r="DE7" s="26">
        <f t="shared" si="30"/>
        <v>43378</v>
      </c>
      <c r="DF7" s="24" t="str">
        <f t="shared" si="31"/>
        <v/>
      </c>
      <c r="DG7" s="54" t="str">
        <f>IF(ISNA(VLOOKUP(CX7,Aufenthalte!$A:$G,7,FALSE))=TRUE,"",VLOOKUP(CX7,Aufenthalte!$A:$G,7,FALSE))</f>
        <v xml:space="preserve">
</v>
      </c>
      <c r="DH7" s="7" t="str">
        <f t="shared" si="66"/>
        <v/>
      </c>
      <c r="DI7" s="27">
        <f>DATE(Konfiguration!$B$2,11,$B7)</f>
        <v>43409</v>
      </c>
      <c r="DJ7" s="28">
        <f t="shared" si="67"/>
        <v>0</v>
      </c>
      <c r="DK7" s="28">
        <f>IF(ISNA(VLOOKUP(DI7,Ferien!$A:$A,1,FALSE))=TRUE,0,1)</f>
        <v>0</v>
      </c>
      <c r="DL7" s="28">
        <f>IF(ISNA(VLOOKUP(DI7,Feiertage!$A:$A,1,FALSE))=TRUE,0,1)</f>
        <v>0</v>
      </c>
      <c r="DM7" s="28">
        <f>IF(ISNA(VLOOKUP(DI7,Termine!$A:$A,1,FALSE))=TRUE,0,1)</f>
        <v>0</v>
      </c>
      <c r="DN7" s="28" t="str">
        <f>IF(ISNA(VLOOKUP(DI7,Aufenthalte!$A:$B,2,FALSE))=TRUE,"",VLOOKUP(DI7,Aufenthalte!$A:$B,2,FALSE))</f>
        <v>Mama</v>
      </c>
      <c r="DO7" s="25">
        <f t="shared" si="33"/>
        <v>5</v>
      </c>
      <c r="DP7" s="26">
        <f t="shared" si="34"/>
        <v>43409</v>
      </c>
      <c r="DQ7" s="24" t="str">
        <f t="shared" si="35"/>
        <v/>
      </c>
      <c r="DR7" s="54" t="str">
        <f>IF(ISNA(VLOOKUP(DI7,Aufenthalte!$A:$G,7,FALSE))=TRUE,"",VLOOKUP(DI7,Aufenthalte!$A:$G,7,FALSE))</f>
        <v xml:space="preserve">
</v>
      </c>
      <c r="DS7" s="7">
        <f t="shared" si="68"/>
        <v>45</v>
      </c>
      <c r="DT7" s="27">
        <f>DATE(Konfiguration!$B$2,12,$B7)</f>
        <v>43439</v>
      </c>
      <c r="DU7" s="28">
        <f t="shared" si="69"/>
        <v>0</v>
      </c>
      <c r="DV7" s="28">
        <f>IF(ISNA(VLOOKUP(DT7,Ferien!$A:$A,1,FALSE))=TRUE,0,1)</f>
        <v>0</v>
      </c>
      <c r="DW7" s="28">
        <f>IF(ISNA(VLOOKUP(DT7,Feiertage!$A:$A,1,FALSE))=TRUE,0,1)</f>
        <v>0</v>
      </c>
      <c r="DX7" s="28">
        <f>IF(ISNA(VLOOKUP(DT7,Termine!$A:$A,1,FALSE))=TRUE,0,1)</f>
        <v>0</v>
      </c>
      <c r="DY7" s="28" t="str">
        <f>IF(ISNA(VLOOKUP(DT7,Aufenthalte!$A:$B,2,FALSE))=TRUE,"",VLOOKUP(DT7,Aufenthalte!$A:$B,2,FALSE))</f>
        <v>Mama</v>
      </c>
      <c r="DZ7" s="25">
        <f t="shared" si="37"/>
        <v>5</v>
      </c>
      <c r="EA7" s="26">
        <f t="shared" si="38"/>
        <v>43439</v>
      </c>
      <c r="EB7" s="24" t="str">
        <f t="shared" si="39"/>
        <v/>
      </c>
      <c r="EC7" s="54" t="str">
        <f>IF(ISNA(VLOOKUP(DT7,Aufenthalte!$A:$G,7,FALSE))=TRUE,"",VLOOKUP(DT7,Aufenthalte!$A:$G,7,FALSE))</f>
        <v xml:space="preserve">
</v>
      </c>
      <c r="ED7" s="7" t="str">
        <f t="shared" si="70"/>
        <v/>
      </c>
      <c r="EE7" s="27">
        <f>DATE(Konfiguration!$B$2+1,1,$B7)</f>
        <v>43470</v>
      </c>
      <c r="EF7" s="28">
        <f t="shared" si="71"/>
        <v>1</v>
      </c>
      <c r="EG7" s="28">
        <f>IF(ISNA(VLOOKUP(EE7,Ferien!$A:$A,1,FALSE))=TRUE,0,1)</f>
        <v>0</v>
      </c>
      <c r="EH7" s="28">
        <f>IF(ISNA(VLOOKUP(EE7,Feiertage!$A:$A,1,FALSE))=TRUE,0,1)</f>
        <v>0</v>
      </c>
      <c r="EI7" s="28">
        <f>IF(ISNA(VLOOKUP(EE7,Termine!$A:$A,1,FALSE))=TRUE,0,1)</f>
        <v>0</v>
      </c>
      <c r="EJ7" s="28" t="str">
        <f>IF(ISNA(VLOOKUP(EE7,Aufenthalte!$A:$B,2,FALSE))=TRUE,"",VLOOKUP(EE7,Aufenthalte!$A:$B,2,FALSE))</f>
        <v>Mama</v>
      </c>
      <c r="EK7" s="25">
        <f t="shared" si="41"/>
        <v>5</v>
      </c>
      <c r="EL7" s="26">
        <f t="shared" si="42"/>
        <v>43470</v>
      </c>
      <c r="EM7" s="24" t="str">
        <f t="shared" si="43"/>
        <v/>
      </c>
      <c r="EN7" s="54" t="str">
        <f>IF(ISNA(VLOOKUP(EE7,Aufenthalte!$A:$G,7,FALSE))=TRUE,"",VLOOKUP(EE7,Aufenthalte!$A:$G,7,FALSE))</f>
        <v xml:space="preserve">
</v>
      </c>
      <c r="EO7" s="7" t="str">
        <f t="shared" si="72"/>
        <v/>
      </c>
    </row>
    <row r="8" spans="2:145" s="1" customFormat="1" ht="21" customHeight="1">
      <c r="B8" s="8">
        <v>6</v>
      </c>
      <c r="C8" s="27">
        <f>DATE(Konfiguration!$B$2,1,$B8)</f>
        <v>43106</v>
      </c>
      <c r="D8" s="28">
        <f t="shared" si="45"/>
        <v>1</v>
      </c>
      <c r="E8" s="28">
        <f>IF(ISNA(VLOOKUP(C8,Ferien!$A:$A,1,FALSE))=TRUE,0,1)</f>
        <v>1</v>
      </c>
      <c r="F8" s="28">
        <f>IF(ISNA(VLOOKUP(C8,Feiertage!$A:$A,1,FALSE))=TRUE,0,1)</f>
        <v>0</v>
      </c>
      <c r="G8" s="28">
        <f>IF(ISNA(VLOOKUP(C8,Termine!$A:$A,1,FALSE))=TRUE,0,1)</f>
        <v>0</v>
      </c>
      <c r="H8" s="28" t="str">
        <f>IF(ISNA(VLOOKUP(C8,Aufenthalte!$A:$B,2,FALSE))=TRUE,"",VLOOKUP(C8,Aufenthalte!$A:$B,2,FALSE))</f>
        <v>Papa</v>
      </c>
      <c r="I8" s="25">
        <f t="shared" si="46"/>
        <v>6</v>
      </c>
      <c r="J8" s="26">
        <f t="shared" si="0"/>
        <v>43106</v>
      </c>
      <c r="K8" s="24" t="str">
        <f t="shared" si="47"/>
        <v/>
      </c>
      <c r="L8" s="54" t="str">
        <f>IF(ISNA(VLOOKUP(C8,Aufenthalte!$A:$G,7,FALSE))=TRUE,"",VLOOKUP(C8,Aufenthalte!$A:$G,7,FALSE))</f>
        <v xml:space="preserve">
</v>
      </c>
      <c r="M8" s="7" t="str">
        <f t="shared" si="77"/>
        <v/>
      </c>
      <c r="N8" s="27">
        <f>DATE(Konfiguration!$B$2,2,$B8)</f>
        <v>43137</v>
      </c>
      <c r="O8" s="28">
        <f t="shared" si="48"/>
        <v>0</v>
      </c>
      <c r="P8" s="28">
        <f>IF(ISNA(VLOOKUP(N8,Ferien!$A:$A,1,FALSE))=TRUE,0,1)</f>
        <v>0</v>
      </c>
      <c r="Q8" s="28">
        <f>IF(ISNA(VLOOKUP(N8,Feiertage!$A:$A,1,FALSE))=TRUE,0,1)</f>
        <v>0</v>
      </c>
      <c r="R8" s="28">
        <f>IF(ISNA(VLOOKUP(N8,Termine!$A:$A,1,FALSE))=TRUE,0,1)</f>
        <v>0</v>
      </c>
      <c r="S8" s="28" t="str">
        <f>IF(ISNA(VLOOKUP(N8,Aufenthalte!$A:$B,2,FALSE))=TRUE,"",VLOOKUP(N8,Aufenthalte!$A:$B,2,FALSE))</f>
        <v>Mama</v>
      </c>
      <c r="T8" s="25">
        <f t="shared" si="49"/>
        <v>6</v>
      </c>
      <c r="U8" s="26">
        <f t="shared" si="50"/>
        <v>43137</v>
      </c>
      <c r="V8" s="24" t="str">
        <f t="shared" si="2"/>
        <v/>
      </c>
      <c r="W8" s="54" t="str">
        <f>IF(ISNA(VLOOKUP(N8,Aufenthalte!$A:$G,7,FALSE))=TRUE,"",VLOOKUP(N8,Aufenthalte!$A:$G,7,FALSE))</f>
        <v xml:space="preserve">
</v>
      </c>
      <c r="X8" s="7" t="str">
        <f t="shared" si="51"/>
        <v/>
      </c>
      <c r="Y8" s="27">
        <f>DATE(Konfiguration!$B$2,3,$B8)</f>
        <v>43165</v>
      </c>
      <c r="Z8" s="28">
        <f t="shared" si="73"/>
        <v>0</v>
      </c>
      <c r="AA8" s="28">
        <f>IF(ISNA(VLOOKUP(Y8,Ferien!$A:$A,1,FALSE))=TRUE,0,1)</f>
        <v>0</v>
      </c>
      <c r="AB8" s="28">
        <f>IF(ISNA(VLOOKUP(Y8,Feiertage!$A:$A,1,FALSE))=TRUE,0,1)</f>
        <v>0</v>
      </c>
      <c r="AC8" s="28">
        <f>IF(ISNA(VLOOKUP(Y8,Termine!$A:$A,1,FALSE))=TRUE,0,1)</f>
        <v>0</v>
      </c>
      <c r="AD8" s="28" t="str">
        <f>IF(ISNA(VLOOKUP(Y8,Aufenthalte!$A:$B,2,FALSE))=TRUE,"",VLOOKUP(Y8,Aufenthalte!$A:$B,2,FALSE))</f>
        <v>Mama</v>
      </c>
      <c r="AE8" s="25">
        <f t="shared" si="74"/>
        <v>6</v>
      </c>
      <c r="AF8" s="26">
        <f t="shared" si="75"/>
        <v>43165</v>
      </c>
      <c r="AG8" s="24" t="str">
        <f t="shared" si="76"/>
        <v/>
      </c>
      <c r="AH8" s="54" t="str">
        <f>IF(ISNA(VLOOKUP(Y8,Aufenthalte!$A:$G,7,FALSE))=TRUE,"",VLOOKUP(Y8,Aufenthalte!$A:$G,7,FALSE))</f>
        <v xml:space="preserve">
</v>
      </c>
      <c r="AI8" s="7" t="str">
        <f t="shared" si="52"/>
        <v/>
      </c>
      <c r="AJ8" s="27">
        <f>DATE(Konfiguration!$B$2,4,$B8)</f>
        <v>43196</v>
      </c>
      <c r="AK8" s="28">
        <f t="shared" si="53"/>
        <v>0</v>
      </c>
      <c r="AL8" s="28">
        <f>IF(ISNA(VLOOKUP(AJ8,Ferien!$A:$A,1,FALSE))=TRUE,0,1)</f>
        <v>1</v>
      </c>
      <c r="AM8" s="28">
        <f>IF(ISNA(VLOOKUP(AJ8,Feiertage!$A:$A,1,FALSE))=TRUE,0,1)</f>
        <v>0</v>
      </c>
      <c r="AN8" s="28">
        <f>IF(ISNA(VLOOKUP(AJ8,Termine!$A:$A,1,FALSE))=TRUE,0,1)</f>
        <v>0</v>
      </c>
      <c r="AO8" s="28" t="str">
        <f>IF(ISNA(VLOOKUP(AJ8,Aufenthalte!$A:$B,2,FALSE))=TRUE,"",VLOOKUP(AJ8,Aufenthalte!$A:$B,2,FALSE))</f>
        <v>Mama</v>
      </c>
      <c r="AP8" s="25">
        <f t="shared" si="5"/>
        <v>6</v>
      </c>
      <c r="AQ8" s="26">
        <f t="shared" si="6"/>
        <v>43196</v>
      </c>
      <c r="AR8" s="24" t="str">
        <f t="shared" si="7"/>
        <v/>
      </c>
      <c r="AS8" s="54" t="str">
        <f>IF(ISNA(VLOOKUP(AJ8,Aufenthalte!$A:$G,7,FALSE))=TRUE,"",VLOOKUP(AJ8,Aufenthalte!$A:$G,7,FALSE))</f>
        <v xml:space="preserve">
</v>
      </c>
      <c r="AT8" s="7" t="str">
        <f t="shared" si="54"/>
        <v/>
      </c>
      <c r="AU8" s="27">
        <f>DATE(Konfiguration!$B$2,5,$B8)</f>
        <v>43226</v>
      </c>
      <c r="AV8" s="28">
        <f t="shared" si="55"/>
        <v>1</v>
      </c>
      <c r="AW8" s="28">
        <f>IF(ISNA(VLOOKUP(AU8,Ferien!$A:$A,1,FALSE))=TRUE,0,1)</f>
        <v>0</v>
      </c>
      <c r="AX8" s="28">
        <f>IF(ISNA(VLOOKUP(AU8,Feiertage!$A:$A,1,FALSE))=TRUE,0,1)</f>
        <v>0</v>
      </c>
      <c r="AY8" s="28">
        <f>IF(ISNA(VLOOKUP(AU8,Termine!$A:$A,1,FALSE))=TRUE,0,1)</f>
        <v>0</v>
      </c>
      <c r="AZ8" s="28" t="str">
        <f>IF(ISNA(VLOOKUP(AU8,Aufenthalte!$A:$B,2,FALSE))=TRUE,"",VLOOKUP(AU8,Aufenthalte!$A:$B,2,FALSE))</f>
        <v>Mama</v>
      </c>
      <c r="BA8" s="25">
        <f t="shared" si="9"/>
        <v>6</v>
      </c>
      <c r="BB8" s="26">
        <f t="shared" si="10"/>
        <v>43226</v>
      </c>
      <c r="BC8" s="24" t="str">
        <f t="shared" si="11"/>
        <v/>
      </c>
      <c r="BD8" s="54" t="str">
        <f>IF(ISNA(VLOOKUP(AU8,Aufenthalte!$A:$G,7,FALSE))=TRUE,"",VLOOKUP(AU8,Aufenthalte!$A:$G,7,FALSE))</f>
        <v xml:space="preserve">
</v>
      </c>
      <c r="BE8" s="7" t="str">
        <f t="shared" si="56"/>
        <v/>
      </c>
      <c r="BF8" s="27">
        <f>DATE(Konfiguration!$B$2,6,$B8)</f>
        <v>43257</v>
      </c>
      <c r="BG8" s="28">
        <f t="shared" si="57"/>
        <v>0</v>
      </c>
      <c r="BH8" s="28">
        <f>IF(ISNA(VLOOKUP(BF8,Ferien!$A:$A,1,FALSE))=TRUE,0,1)</f>
        <v>0</v>
      </c>
      <c r="BI8" s="28">
        <f>IF(ISNA(VLOOKUP(BF8,Feiertage!$A:$A,1,FALSE))=TRUE,0,1)</f>
        <v>0</v>
      </c>
      <c r="BJ8" s="28">
        <f>IF(ISNA(VLOOKUP(BF8,Termine!$A:$A,1,FALSE))=TRUE,0,1)</f>
        <v>0</v>
      </c>
      <c r="BK8" s="28" t="str">
        <f>IF(ISNA(VLOOKUP(BF8,Aufenthalte!$A:$B,2,FALSE))=TRUE,"",VLOOKUP(BF8,Aufenthalte!$A:$B,2,FALSE))</f>
        <v>Mama</v>
      </c>
      <c r="BL8" s="25">
        <f t="shared" si="13"/>
        <v>6</v>
      </c>
      <c r="BM8" s="26">
        <f t="shared" si="14"/>
        <v>43257</v>
      </c>
      <c r="BN8" s="24" t="str">
        <f t="shared" si="15"/>
        <v/>
      </c>
      <c r="BO8" s="54" t="str">
        <f>IF(ISNA(VLOOKUP(BF8,Aufenthalte!$A:$G,7,FALSE))=TRUE,"",VLOOKUP(BF8,Aufenthalte!$A:$G,7,FALSE))</f>
        <v xml:space="preserve">
</v>
      </c>
      <c r="BP8" s="7" t="str">
        <f t="shared" si="58"/>
        <v/>
      </c>
      <c r="BQ8" s="27">
        <f>DATE(Konfiguration!$B$2,7,$B8)</f>
        <v>43287</v>
      </c>
      <c r="BR8" s="28">
        <f t="shared" si="59"/>
        <v>0</v>
      </c>
      <c r="BS8" s="28">
        <f>IF(ISNA(VLOOKUP(BQ8,Ferien!$A:$A,1,FALSE))=TRUE,0,1)</f>
        <v>1</v>
      </c>
      <c r="BT8" s="28">
        <f>IF(ISNA(VLOOKUP(BQ8,Feiertage!$A:$A,1,FALSE))=TRUE,0,1)</f>
        <v>0</v>
      </c>
      <c r="BU8" s="28">
        <f>IF(ISNA(VLOOKUP(BQ8,Termine!$A:$A,1,FALSE))=TRUE,0,1)</f>
        <v>0</v>
      </c>
      <c r="BV8" s="28" t="str">
        <f>IF(ISNA(VLOOKUP(BQ8,Aufenthalte!$A:$B,2,FALSE))=TRUE,"",VLOOKUP(BQ8,Aufenthalte!$A:$B,2,FALSE))</f>
        <v>Mama</v>
      </c>
      <c r="BW8" s="25">
        <f t="shared" si="17"/>
        <v>6</v>
      </c>
      <c r="BX8" s="26">
        <f t="shared" si="18"/>
        <v>43287</v>
      </c>
      <c r="BY8" s="24" t="str">
        <f t="shared" si="19"/>
        <v/>
      </c>
      <c r="BZ8" s="54" t="str">
        <f>IF(ISNA(VLOOKUP(BQ8,Aufenthalte!$A:$G,7,FALSE))=TRUE,"",VLOOKUP(BQ8,Aufenthalte!$A:$G,7,FALSE))</f>
        <v xml:space="preserve">
</v>
      </c>
      <c r="CA8" s="7" t="str">
        <f t="shared" si="60"/>
        <v/>
      </c>
      <c r="CB8" s="27">
        <f>DATE(Konfiguration!$B$2,8,$B8)</f>
        <v>43318</v>
      </c>
      <c r="CC8" s="28">
        <f t="shared" si="61"/>
        <v>0</v>
      </c>
      <c r="CD8" s="28">
        <f>IF(ISNA(VLOOKUP(CB8,Ferien!$A:$A,1,FALSE))=TRUE,0,1)</f>
        <v>0</v>
      </c>
      <c r="CE8" s="28">
        <f>IF(ISNA(VLOOKUP(CB8,Feiertage!$A:$A,1,FALSE))=TRUE,0,1)</f>
        <v>0</v>
      </c>
      <c r="CF8" s="28">
        <f>IF(ISNA(VLOOKUP(CB8,Termine!$A:$A,1,FALSE))=TRUE,0,1)</f>
        <v>0</v>
      </c>
      <c r="CG8" s="28" t="str">
        <f>IF(ISNA(VLOOKUP(CB8,Aufenthalte!$A:$B,2,FALSE))=TRUE,"",VLOOKUP(CB8,Aufenthalte!$A:$B,2,FALSE))</f>
        <v>Mama</v>
      </c>
      <c r="CH8" s="25">
        <f t="shared" si="21"/>
        <v>6</v>
      </c>
      <c r="CI8" s="26">
        <f t="shared" si="22"/>
        <v>43318</v>
      </c>
      <c r="CJ8" s="24" t="str">
        <f t="shared" si="23"/>
        <v/>
      </c>
      <c r="CK8" s="54" t="str">
        <f>IF(ISNA(VLOOKUP(CB8,Aufenthalte!$A:$G,7,FALSE))=TRUE,"",VLOOKUP(CB8,Aufenthalte!$A:$G,7,FALSE))</f>
        <v xml:space="preserve">
</v>
      </c>
      <c r="CL8" s="7">
        <f t="shared" si="62"/>
        <v>32</v>
      </c>
      <c r="CM8" s="27">
        <f>DATE(Konfiguration!$B$2,9,$B8)</f>
        <v>43349</v>
      </c>
      <c r="CN8" s="28">
        <f t="shared" si="63"/>
        <v>0</v>
      </c>
      <c r="CO8" s="28">
        <f>IF(ISNA(VLOOKUP(CM8,Ferien!$A:$A,1,FALSE))=TRUE,0,1)</f>
        <v>0</v>
      </c>
      <c r="CP8" s="28">
        <f>IF(ISNA(VLOOKUP(CM8,Feiertage!$A:$A,1,FALSE))=TRUE,0,1)</f>
        <v>0</v>
      </c>
      <c r="CQ8" s="28">
        <f>IF(ISNA(VLOOKUP(CM8,Termine!$A:$A,1,FALSE))=TRUE,0,1)</f>
        <v>0</v>
      </c>
      <c r="CR8" s="28" t="str">
        <f>IF(ISNA(VLOOKUP(CM8,Aufenthalte!$A:$B,2,FALSE))=TRUE,"",VLOOKUP(CM8,Aufenthalte!$A:$B,2,FALSE))</f>
        <v>Mama</v>
      </c>
      <c r="CS8" s="25">
        <f t="shared" si="25"/>
        <v>6</v>
      </c>
      <c r="CT8" s="26">
        <f t="shared" si="26"/>
        <v>43349</v>
      </c>
      <c r="CU8" s="24" t="str">
        <f t="shared" si="27"/>
        <v/>
      </c>
      <c r="CV8" s="54" t="str">
        <f>IF(ISNA(VLOOKUP(CM8,Aufenthalte!$A:$G,7,FALSE))=TRUE,"",VLOOKUP(CM8,Aufenthalte!$A:$G,7,FALSE))</f>
        <v xml:space="preserve">
</v>
      </c>
      <c r="CW8" s="7" t="str">
        <f t="shared" si="64"/>
        <v/>
      </c>
      <c r="CX8" s="27">
        <f>DATE(Konfiguration!$B$2,10,$B8)</f>
        <v>43379</v>
      </c>
      <c r="CY8" s="28">
        <f t="shared" si="65"/>
        <v>1</v>
      </c>
      <c r="CZ8" s="28">
        <f>IF(ISNA(VLOOKUP(CX8,Ferien!$A:$A,1,FALSE))=TRUE,0,1)</f>
        <v>1</v>
      </c>
      <c r="DA8" s="28">
        <f>IF(ISNA(VLOOKUP(CX8,Feiertage!$A:$A,1,FALSE))=TRUE,0,1)</f>
        <v>0</v>
      </c>
      <c r="DB8" s="28">
        <f>IF(ISNA(VLOOKUP(CX8,Termine!$A:$A,1,FALSE))=TRUE,0,1)</f>
        <v>0</v>
      </c>
      <c r="DC8" s="28" t="str">
        <f>IF(ISNA(VLOOKUP(CX8,Aufenthalte!$A:$B,2,FALSE))=TRUE,"",VLOOKUP(CX8,Aufenthalte!$A:$B,2,FALSE))</f>
        <v>Mama</v>
      </c>
      <c r="DD8" s="25">
        <f t="shared" si="29"/>
        <v>6</v>
      </c>
      <c r="DE8" s="26">
        <f t="shared" si="30"/>
        <v>43379</v>
      </c>
      <c r="DF8" s="24" t="str">
        <f t="shared" si="31"/>
        <v/>
      </c>
      <c r="DG8" s="54" t="str">
        <f>IF(ISNA(VLOOKUP(CX8,Aufenthalte!$A:$G,7,FALSE))=TRUE,"",VLOOKUP(CX8,Aufenthalte!$A:$G,7,FALSE))</f>
        <v xml:space="preserve">
</v>
      </c>
      <c r="DH8" s="7" t="str">
        <f t="shared" si="66"/>
        <v/>
      </c>
      <c r="DI8" s="27">
        <f>DATE(Konfiguration!$B$2,11,$B8)</f>
        <v>43410</v>
      </c>
      <c r="DJ8" s="28">
        <f t="shared" si="67"/>
        <v>0</v>
      </c>
      <c r="DK8" s="28">
        <f>IF(ISNA(VLOOKUP(DI8,Ferien!$A:$A,1,FALSE))=TRUE,0,1)</f>
        <v>0</v>
      </c>
      <c r="DL8" s="28">
        <f>IF(ISNA(VLOOKUP(DI8,Feiertage!$A:$A,1,FALSE))=TRUE,0,1)</f>
        <v>0</v>
      </c>
      <c r="DM8" s="28">
        <f>IF(ISNA(VLOOKUP(DI8,Termine!$A:$A,1,FALSE))=TRUE,0,1)</f>
        <v>0</v>
      </c>
      <c r="DN8" s="28" t="str">
        <f>IF(ISNA(VLOOKUP(DI8,Aufenthalte!$A:$B,2,FALSE))=TRUE,"",VLOOKUP(DI8,Aufenthalte!$A:$B,2,FALSE))</f>
        <v>Mama</v>
      </c>
      <c r="DO8" s="25">
        <f t="shared" si="33"/>
        <v>6</v>
      </c>
      <c r="DP8" s="26">
        <f t="shared" si="34"/>
        <v>43410</v>
      </c>
      <c r="DQ8" s="24" t="str">
        <f t="shared" si="35"/>
        <v/>
      </c>
      <c r="DR8" s="54" t="str">
        <f>IF(ISNA(VLOOKUP(DI8,Aufenthalte!$A:$G,7,FALSE))=TRUE,"",VLOOKUP(DI8,Aufenthalte!$A:$G,7,FALSE))</f>
        <v xml:space="preserve">
</v>
      </c>
      <c r="DS8" s="7" t="str">
        <f t="shared" si="68"/>
        <v/>
      </c>
      <c r="DT8" s="27">
        <f>DATE(Konfiguration!$B$2,12,$B8)</f>
        <v>43440</v>
      </c>
      <c r="DU8" s="28">
        <f t="shared" si="69"/>
        <v>0</v>
      </c>
      <c r="DV8" s="28">
        <f>IF(ISNA(VLOOKUP(DT8,Ferien!$A:$A,1,FALSE))=TRUE,0,1)</f>
        <v>0</v>
      </c>
      <c r="DW8" s="28">
        <f>IF(ISNA(VLOOKUP(DT8,Feiertage!$A:$A,1,FALSE))=TRUE,0,1)</f>
        <v>0</v>
      </c>
      <c r="DX8" s="28">
        <f>IF(ISNA(VLOOKUP(DT8,Termine!$A:$A,1,FALSE))=TRUE,0,1)</f>
        <v>0</v>
      </c>
      <c r="DY8" s="28" t="str">
        <f>IF(ISNA(VLOOKUP(DT8,Aufenthalte!$A:$B,2,FALSE))=TRUE,"",VLOOKUP(DT8,Aufenthalte!$A:$B,2,FALSE))</f>
        <v>Mama</v>
      </c>
      <c r="DZ8" s="25">
        <f t="shared" si="37"/>
        <v>6</v>
      </c>
      <c r="EA8" s="26">
        <f t="shared" si="38"/>
        <v>43440</v>
      </c>
      <c r="EB8" s="24" t="str">
        <f t="shared" si="39"/>
        <v/>
      </c>
      <c r="EC8" s="54" t="str">
        <f>IF(ISNA(VLOOKUP(DT8,Aufenthalte!$A:$G,7,FALSE))=TRUE,"",VLOOKUP(DT8,Aufenthalte!$A:$G,7,FALSE))</f>
        <v xml:space="preserve">
</v>
      </c>
      <c r="ED8" s="7" t="str">
        <f t="shared" si="70"/>
        <v/>
      </c>
      <c r="EE8" s="27">
        <f>DATE(Konfiguration!$B$2+1,1,$B8)</f>
        <v>43471</v>
      </c>
      <c r="EF8" s="28">
        <f t="shared" si="71"/>
        <v>1</v>
      </c>
      <c r="EG8" s="28">
        <f>IF(ISNA(VLOOKUP(EE8,Ferien!$A:$A,1,FALSE))=TRUE,0,1)</f>
        <v>0</v>
      </c>
      <c r="EH8" s="28">
        <f>IF(ISNA(VLOOKUP(EE8,Feiertage!$A:$A,1,FALSE))=TRUE,0,1)</f>
        <v>0</v>
      </c>
      <c r="EI8" s="28">
        <f>IF(ISNA(VLOOKUP(EE8,Termine!$A:$A,1,FALSE))=TRUE,0,1)</f>
        <v>0</v>
      </c>
      <c r="EJ8" s="28" t="str">
        <f>IF(ISNA(VLOOKUP(EE8,Aufenthalte!$A:$B,2,FALSE))=TRUE,"",VLOOKUP(EE8,Aufenthalte!$A:$B,2,FALSE))</f>
        <v>Mama</v>
      </c>
      <c r="EK8" s="25">
        <f t="shared" si="41"/>
        <v>6</v>
      </c>
      <c r="EL8" s="26">
        <f t="shared" si="42"/>
        <v>43471</v>
      </c>
      <c r="EM8" s="24" t="str">
        <f t="shared" si="43"/>
        <v/>
      </c>
      <c r="EN8" s="54" t="str">
        <f>IF(ISNA(VLOOKUP(EE8,Aufenthalte!$A:$G,7,FALSE))=TRUE,"",VLOOKUP(EE8,Aufenthalte!$A:$G,7,FALSE))</f>
        <v xml:space="preserve">
</v>
      </c>
      <c r="EO8" s="7" t="str">
        <f t="shared" si="72"/>
        <v/>
      </c>
    </row>
    <row r="9" spans="2:145" s="1" customFormat="1" ht="21" customHeight="1">
      <c r="B9" s="8">
        <v>7</v>
      </c>
      <c r="C9" s="27">
        <f>DATE(Konfiguration!$B$2,1,$B9)</f>
        <v>43107</v>
      </c>
      <c r="D9" s="28">
        <f t="shared" si="45"/>
        <v>1</v>
      </c>
      <c r="E9" s="28">
        <f>IF(ISNA(VLOOKUP(C9,Ferien!$A:$A,1,FALSE))=TRUE,0,1)</f>
        <v>1</v>
      </c>
      <c r="F9" s="28">
        <f>IF(ISNA(VLOOKUP(C9,Feiertage!$A:$A,1,FALSE))=TRUE,0,1)</f>
        <v>0</v>
      </c>
      <c r="G9" s="28">
        <f>IF(ISNA(VLOOKUP(C9,Termine!$A:$A,1,FALSE))=TRUE,0,1)</f>
        <v>0</v>
      </c>
      <c r="H9" s="28" t="str">
        <f>IF(ISNA(VLOOKUP(C9,Aufenthalte!$A:$B,2,FALSE))=TRUE,"",VLOOKUP(C9,Aufenthalte!$A:$B,2,FALSE))</f>
        <v>Papa</v>
      </c>
      <c r="I9" s="25">
        <f t="shared" si="46"/>
        <v>7</v>
      </c>
      <c r="J9" s="26">
        <f t="shared" si="0"/>
        <v>43107</v>
      </c>
      <c r="K9" s="24" t="str">
        <f t="shared" si="47"/>
        <v/>
      </c>
      <c r="L9" s="54" t="str">
        <f>IF(ISNA(VLOOKUP(C9,Aufenthalte!$A:$G,7,FALSE))=TRUE,"",VLOOKUP(C9,Aufenthalte!$A:$G,7,FALSE))</f>
        <v xml:space="preserve">
</v>
      </c>
      <c r="M9" s="7" t="str">
        <f t="shared" si="77"/>
        <v/>
      </c>
      <c r="N9" s="27">
        <f>DATE(Konfiguration!$B$2,2,$B9)</f>
        <v>43138</v>
      </c>
      <c r="O9" s="28">
        <f t="shared" si="48"/>
        <v>0</v>
      </c>
      <c r="P9" s="28">
        <f>IF(ISNA(VLOOKUP(N9,Ferien!$A:$A,1,FALSE))=TRUE,0,1)</f>
        <v>0</v>
      </c>
      <c r="Q9" s="28">
        <f>IF(ISNA(VLOOKUP(N9,Feiertage!$A:$A,1,FALSE))=TRUE,0,1)</f>
        <v>0</v>
      </c>
      <c r="R9" s="28">
        <f>IF(ISNA(VLOOKUP(N9,Termine!$A:$A,1,FALSE))=TRUE,0,1)</f>
        <v>0</v>
      </c>
      <c r="S9" s="28" t="str">
        <f>IF(ISNA(VLOOKUP(N9,Aufenthalte!$A:$B,2,FALSE))=TRUE,"",VLOOKUP(N9,Aufenthalte!$A:$B,2,FALSE))</f>
        <v>Mama</v>
      </c>
      <c r="T9" s="25">
        <f t="shared" si="49"/>
        <v>7</v>
      </c>
      <c r="U9" s="26">
        <f t="shared" si="50"/>
        <v>43138</v>
      </c>
      <c r="V9" s="24" t="str">
        <f t="shared" si="2"/>
        <v/>
      </c>
      <c r="W9" s="54" t="str">
        <f>IF(ISNA(VLOOKUP(N9,Aufenthalte!$A:$G,7,FALSE))=TRUE,"",VLOOKUP(N9,Aufenthalte!$A:$G,7,FALSE))</f>
        <v xml:space="preserve">
</v>
      </c>
      <c r="X9" s="7" t="str">
        <f t="shared" si="51"/>
        <v/>
      </c>
      <c r="Y9" s="27">
        <f>DATE(Konfiguration!$B$2,3,$B9)</f>
        <v>43166</v>
      </c>
      <c r="Z9" s="28">
        <f t="shared" si="73"/>
        <v>0</v>
      </c>
      <c r="AA9" s="28">
        <f>IF(ISNA(VLOOKUP(Y9,Ferien!$A:$A,1,FALSE))=TRUE,0,1)</f>
        <v>0</v>
      </c>
      <c r="AB9" s="28">
        <f>IF(ISNA(VLOOKUP(Y9,Feiertage!$A:$A,1,FALSE))=TRUE,0,1)</f>
        <v>0</v>
      </c>
      <c r="AC9" s="28">
        <f>IF(ISNA(VLOOKUP(Y9,Termine!$A:$A,1,FALSE))=TRUE,0,1)</f>
        <v>0</v>
      </c>
      <c r="AD9" s="28" t="str">
        <f>IF(ISNA(VLOOKUP(Y9,Aufenthalte!$A:$B,2,FALSE))=TRUE,"",VLOOKUP(Y9,Aufenthalte!$A:$B,2,FALSE))</f>
        <v>Mama</v>
      </c>
      <c r="AE9" s="25">
        <f t="shared" si="74"/>
        <v>7</v>
      </c>
      <c r="AF9" s="26">
        <f t="shared" si="75"/>
        <v>43166</v>
      </c>
      <c r="AG9" s="24" t="str">
        <f t="shared" si="76"/>
        <v/>
      </c>
      <c r="AH9" s="54" t="str">
        <f>IF(ISNA(VLOOKUP(Y9,Aufenthalte!$A:$G,7,FALSE))=TRUE,"",VLOOKUP(Y9,Aufenthalte!$A:$G,7,FALSE))</f>
        <v xml:space="preserve">
</v>
      </c>
      <c r="AI9" s="7" t="str">
        <f t="shared" si="52"/>
        <v/>
      </c>
      <c r="AJ9" s="27">
        <f>DATE(Konfiguration!$B$2,4,$B9)</f>
        <v>43197</v>
      </c>
      <c r="AK9" s="28">
        <f t="shared" si="53"/>
        <v>1</v>
      </c>
      <c r="AL9" s="28">
        <f>IF(ISNA(VLOOKUP(AJ9,Ferien!$A:$A,1,FALSE))=TRUE,0,1)</f>
        <v>0</v>
      </c>
      <c r="AM9" s="28">
        <f>IF(ISNA(VLOOKUP(AJ9,Feiertage!$A:$A,1,FALSE))=TRUE,0,1)</f>
        <v>0</v>
      </c>
      <c r="AN9" s="28">
        <f>IF(ISNA(VLOOKUP(AJ9,Termine!$A:$A,1,FALSE))=TRUE,0,1)</f>
        <v>0</v>
      </c>
      <c r="AO9" s="28" t="str">
        <f>IF(ISNA(VLOOKUP(AJ9,Aufenthalte!$A:$B,2,FALSE))=TRUE,"",VLOOKUP(AJ9,Aufenthalte!$A:$B,2,FALSE))</f>
        <v>Mama</v>
      </c>
      <c r="AP9" s="25">
        <f t="shared" si="5"/>
        <v>7</v>
      </c>
      <c r="AQ9" s="26">
        <f t="shared" si="6"/>
        <v>43197</v>
      </c>
      <c r="AR9" s="24" t="str">
        <f t="shared" si="7"/>
        <v/>
      </c>
      <c r="AS9" s="54" t="str">
        <f>IF(ISNA(VLOOKUP(AJ9,Aufenthalte!$A:$G,7,FALSE))=TRUE,"",VLOOKUP(AJ9,Aufenthalte!$A:$G,7,FALSE))</f>
        <v xml:space="preserve">
</v>
      </c>
      <c r="AT9" s="7" t="str">
        <f t="shared" si="54"/>
        <v/>
      </c>
      <c r="AU9" s="27">
        <f>DATE(Konfiguration!$B$2,5,$B9)</f>
        <v>43227</v>
      </c>
      <c r="AV9" s="28">
        <f t="shared" si="55"/>
        <v>0</v>
      </c>
      <c r="AW9" s="28">
        <f>IF(ISNA(VLOOKUP(AU9,Ferien!$A:$A,1,FALSE))=TRUE,0,1)</f>
        <v>0</v>
      </c>
      <c r="AX9" s="28">
        <f>IF(ISNA(VLOOKUP(AU9,Feiertage!$A:$A,1,FALSE))=TRUE,0,1)</f>
        <v>0</v>
      </c>
      <c r="AY9" s="28">
        <f>IF(ISNA(VLOOKUP(AU9,Termine!$A:$A,1,FALSE))=TRUE,0,1)</f>
        <v>0</v>
      </c>
      <c r="AZ9" s="28" t="str">
        <f>IF(ISNA(VLOOKUP(AU9,Aufenthalte!$A:$B,2,FALSE))=TRUE,"",VLOOKUP(AU9,Aufenthalte!$A:$B,2,FALSE))</f>
        <v>Mama</v>
      </c>
      <c r="BA9" s="25">
        <f t="shared" si="9"/>
        <v>7</v>
      </c>
      <c r="BB9" s="26">
        <f t="shared" si="10"/>
        <v>43227</v>
      </c>
      <c r="BC9" s="24" t="str">
        <f t="shared" si="11"/>
        <v/>
      </c>
      <c r="BD9" s="54" t="str">
        <f>IF(ISNA(VLOOKUP(AU9,Aufenthalte!$A:$G,7,FALSE))=TRUE,"",VLOOKUP(AU9,Aufenthalte!$A:$G,7,FALSE))</f>
        <v xml:space="preserve">
</v>
      </c>
      <c r="BE9" s="7">
        <f t="shared" si="56"/>
        <v>19</v>
      </c>
      <c r="BF9" s="27">
        <f>DATE(Konfiguration!$B$2,6,$B9)</f>
        <v>43258</v>
      </c>
      <c r="BG9" s="28">
        <f t="shared" si="57"/>
        <v>0</v>
      </c>
      <c r="BH9" s="28">
        <f>IF(ISNA(VLOOKUP(BF9,Ferien!$A:$A,1,FALSE))=TRUE,0,1)</f>
        <v>0</v>
      </c>
      <c r="BI9" s="28">
        <f>IF(ISNA(VLOOKUP(BF9,Feiertage!$A:$A,1,FALSE))=TRUE,0,1)</f>
        <v>0</v>
      </c>
      <c r="BJ9" s="28">
        <f>IF(ISNA(VLOOKUP(BF9,Termine!$A:$A,1,FALSE))=TRUE,0,1)</f>
        <v>0</v>
      </c>
      <c r="BK9" s="28" t="str">
        <f>IF(ISNA(VLOOKUP(BF9,Aufenthalte!$A:$B,2,FALSE))=TRUE,"",VLOOKUP(BF9,Aufenthalte!$A:$B,2,FALSE))</f>
        <v>Mama</v>
      </c>
      <c r="BL9" s="25">
        <f t="shared" si="13"/>
        <v>7</v>
      </c>
      <c r="BM9" s="26">
        <f t="shared" si="14"/>
        <v>43258</v>
      </c>
      <c r="BN9" s="24" t="str">
        <f t="shared" si="15"/>
        <v/>
      </c>
      <c r="BO9" s="54" t="str">
        <f>IF(ISNA(VLOOKUP(BF9,Aufenthalte!$A:$G,7,FALSE))=TRUE,"",VLOOKUP(BF9,Aufenthalte!$A:$G,7,FALSE))</f>
        <v xml:space="preserve">
</v>
      </c>
      <c r="BP9" s="7" t="str">
        <f t="shared" si="58"/>
        <v/>
      </c>
      <c r="BQ9" s="27">
        <f>DATE(Konfiguration!$B$2,7,$B9)</f>
        <v>43288</v>
      </c>
      <c r="BR9" s="28">
        <f t="shared" si="59"/>
        <v>1</v>
      </c>
      <c r="BS9" s="28">
        <f>IF(ISNA(VLOOKUP(BQ9,Ferien!$A:$A,1,FALSE))=TRUE,0,1)</f>
        <v>1</v>
      </c>
      <c r="BT9" s="28">
        <f>IF(ISNA(VLOOKUP(BQ9,Feiertage!$A:$A,1,FALSE))=TRUE,0,1)</f>
        <v>0</v>
      </c>
      <c r="BU9" s="28">
        <f>IF(ISNA(VLOOKUP(BQ9,Termine!$A:$A,1,FALSE))=TRUE,0,1)</f>
        <v>0</v>
      </c>
      <c r="BV9" s="28" t="str">
        <f>IF(ISNA(VLOOKUP(BQ9,Aufenthalte!$A:$B,2,FALSE))=TRUE,"",VLOOKUP(BQ9,Aufenthalte!$A:$B,2,FALSE))</f>
        <v>Mama</v>
      </c>
      <c r="BW9" s="25">
        <f t="shared" si="17"/>
        <v>7</v>
      </c>
      <c r="BX9" s="26">
        <f t="shared" si="18"/>
        <v>43288</v>
      </c>
      <c r="BY9" s="24" t="str">
        <f t="shared" si="19"/>
        <v/>
      </c>
      <c r="BZ9" s="54" t="str">
        <f>IF(ISNA(VLOOKUP(BQ9,Aufenthalte!$A:$G,7,FALSE))=TRUE,"",VLOOKUP(BQ9,Aufenthalte!$A:$G,7,FALSE))</f>
        <v xml:space="preserve">
</v>
      </c>
      <c r="CA9" s="7" t="str">
        <f t="shared" si="60"/>
        <v/>
      </c>
      <c r="CB9" s="27">
        <f>DATE(Konfiguration!$B$2,8,$B9)</f>
        <v>43319</v>
      </c>
      <c r="CC9" s="28">
        <f t="shared" si="61"/>
        <v>0</v>
      </c>
      <c r="CD9" s="28">
        <f>IF(ISNA(VLOOKUP(CB9,Ferien!$A:$A,1,FALSE))=TRUE,0,1)</f>
        <v>0</v>
      </c>
      <c r="CE9" s="28">
        <f>IF(ISNA(VLOOKUP(CB9,Feiertage!$A:$A,1,FALSE))=TRUE,0,1)</f>
        <v>0</v>
      </c>
      <c r="CF9" s="28">
        <f>IF(ISNA(VLOOKUP(CB9,Termine!$A:$A,1,FALSE))=TRUE,0,1)</f>
        <v>0</v>
      </c>
      <c r="CG9" s="28" t="str">
        <f>IF(ISNA(VLOOKUP(CB9,Aufenthalte!$A:$B,2,FALSE))=TRUE,"",VLOOKUP(CB9,Aufenthalte!$A:$B,2,FALSE))</f>
        <v>Mama</v>
      </c>
      <c r="CH9" s="25">
        <f t="shared" si="21"/>
        <v>7</v>
      </c>
      <c r="CI9" s="26">
        <f t="shared" si="22"/>
        <v>43319</v>
      </c>
      <c r="CJ9" s="24" t="str">
        <f t="shared" si="23"/>
        <v/>
      </c>
      <c r="CK9" s="54" t="str">
        <f>IF(ISNA(VLOOKUP(CB9,Aufenthalte!$A:$G,7,FALSE))=TRUE,"",VLOOKUP(CB9,Aufenthalte!$A:$G,7,FALSE))</f>
        <v xml:space="preserve">
</v>
      </c>
      <c r="CL9" s="7" t="str">
        <f t="shared" si="62"/>
        <v/>
      </c>
      <c r="CM9" s="27">
        <f>DATE(Konfiguration!$B$2,9,$B9)</f>
        <v>43350</v>
      </c>
      <c r="CN9" s="28">
        <f t="shared" si="63"/>
        <v>0</v>
      </c>
      <c r="CO9" s="28">
        <f>IF(ISNA(VLOOKUP(CM9,Ferien!$A:$A,1,FALSE))=TRUE,0,1)</f>
        <v>0</v>
      </c>
      <c r="CP9" s="28">
        <f>IF(ISNA(VLOOKUP(CM9,Feiertage!$A:$A,1,FALSE))=TRUE,0,1)</f>
        <v>0</v>
      </c>
      <c r="CQ9" s="28">
        <f>IF(ISNA(VLOOKUP(CM9,Termine!$A:$A,1,FALSE))=TRUE,0,1)</f>
        <v>0</v>
      </c>
      <c r="CR9" s="28" t="str">
        <f>IF(ISNA(VLOOKUP(CM9,Aufenthalte!$A:$B,2,FALSE))=TRUE,"",VLOOKUP(CM9,Aufenthalte!$A:$B,2,FALSE))</f>
        <v>Mama</v>
      </c>
      <c r="CS9" s="25">
        <f t="shared" si="25"/>
        <v>7</v>
      </c>
      <c r="CT9" s="26">
        <f t="shared" si="26"/>
        <v>43350</v>
      </c>
      <c r="CU9" s="24" t="str">
        <f t="shared" si="27"/>
        <v/>
      </c>
      <c r="CV9" s="54" t="str">
        <f>IF(ISNA(VLOOKUP(CM9,Aufenthalte!$A:$G,7,FALSE))=TRUE,"",VLOOKUP(CM9,Aufenthalte!$A:$G,7,FALSE))</f>
        <v xml:space="preserve">
</v>
      </c>
      <c r="CW9" s="7" t="str">
        <f t="shared" si="64"/>
        <v/>
      </c>
      <c r="CX9" s="27">
        <f>DATE(Konfiguration!$B$2,10,$B9)</f>
        <v>43380</v>
      </c>
      <c r="CY9" s="28">
        <f t="shared" si="65"/>
        <v>1</v>
      </c>
      <c r="CZ9" s="28">
        <f>IF(ISNA(VLOOKUP(CX9,Ferien!$A:$A,1,FALSE))=TRUE,0,1)</f>
        <v>1</v>
      </c>
      <c r="DA9" s="28">
        <f>IF(ISNA(VLOOKUP(CX9,Feiertage!$A:$A,1,FALSE))=TRUE,0,1)</f>
        <v>0</v>
      </c>
      <c r="DB9" s="28">
        <f>IF(ISNA(VLOOKUP(CX9,Termine!$A:$A,1,FALSE))=TRUE,0,1)</f>
        <v>0</v>
      </c>
      <c r="DC9" s="28" t="str">
        <f>IF(ISNA(VLOOKUP(CX9,Aufenthalte!$A:$B,2,FALSE))=TRUE,"",VLOOKUP(CX9,Aufenthalte!$A:$B,2,FALSE))</f>
        <v>Mama</v>
      </c>
      <c r="DD9" s="25">
        <f t="shared" si="29"/>
        <v>7</v>
      </c>
      <c r="DE9" s="26">
        <f t="shared" si="30"/>
        <v>43380</v>
      </c>
      <c r="DF9" s="24" t="str">
        <f t="shared" si="31"/>
        <v/>
      </c>
      <c r="DG9" s="54" t="str">
        <f>IF(ISNA(VLOOKUP(CX9,Aufenthalte!$A:$G,7,FALSE))=TRUE,"",VLOOKUP(CX9,Aufenthalte!$A:$G,7,FALSE))</f>
        <v xml:space="preserve">
</v>
      </c>
      <c r="DH9" s="7" t="str">
        <f t="shared" si="66"/>
        <v/>
      </c>
      <c r="DI9" s="27">
        <f>DATE(Konfiguration!$B$2,11,$B9)</f>
        <v>43411</v>
      </c>
      <c r="DJ9" s="28">
        <f t="shared" si="67"/>
        <v>0</v>
      </c>
      <c r="DK9" s="28">
        <f>IF(ISNA(VLOOKUP(DI9,Ferien!$A:$A,1,FALSE))=TRUE,0,1)</f>
        <v>0</v>
      </c>
      <c r="DL9" s="28">
        <f>IF(ISNA(VLOOKUP(DI9,Feiertage!$A:$A,1,FALSE))=TRUE,0,1)</f>
        <v>0</v>
      </c>
      <c r="DM9" s="28">
        <f>IF(ISNA(VLOOKUP(DI9,Termine!$A:$A,1,FALSE))=TRUE,0,1)</f>
        <v>0</v>
      </c>
      <c r="DN9" s="28" t="str">
        <f>IF(ISNA(VLOOKUP(DI9,Aufenthalte!$A:$B,2,FALSE))=TRUE,"",VLOOKUP(DI9,Aufenthalte!$A:$B,2,FALSE))</f>
        <v>Mama</v>
      </c>
      <c r="DO9" s="25">
        <f t="shared" si="33"/>
        <v>7</v>
      </c>
      <c r="DP9" s="26">
        <f t="shared" si="34"/>
        <v>43411</v>
      </c>
      <c r="DQ9" s="24" t="str">
        <f t="shared" si="35"/>
        <v/>
      </c>
      <c r="DR9" s="54" t="str">
        <f>IF(ISNA(VLOOKUP(DI9,Aufenthalte!$A:$G,7,FALSE))=TRUE,"",VLOOKUP(DI9,Aufenthalte!$A:$G,7,FALSE))</f>
        <v xml:space="preserve">
</v>
      </c>
      <c r="DS9" s="7" t="str">
        <f t="shared" si="68"/>
        <v/>
      </c>
      <c r="DT9" s="27">
        <f>DATE(Konfiguration!$B$2,12,$B9)</f>
        <v>43441</v>
      </c>
      <c r="DU9" s="28">
        <f t="shared" si="69"/>
        <v>0</v>
      </c>
      <c r="DV9" s="28">
        <f>IF(ISNA(VLOOKUP(DT9,Ferien!$A:$A,1,FALSE))=TRUE,0,1)</f>
        <v>0</v>
      </c>
      <c r="DW9" s="28">
        <f>IF(ISNA(VLOOKUP(DT9,Feiertage!$A:$A,1,FALSE))=TRUE,0,1)</f>
        <v>0</v>
      </c>
      <c r="DX9" s="28">
        <f>IF(ISNA(VLOOKUP(DT9,Termine!$A:$A,1,FALSE))=TRUE,0,1)</f>
        <v>0</v>
      </c>
      <c r="DY9" s="28" t="str">
        <f>IF(ISNA(VLOOKUP(DT9,Aufenthalte!$A:$B,2,FALSE))=TRUE,"",VLOOKUP(DT9,Aufenthalte!$A:$B,2,FALSE))</f>
        <v>Mama</v>
      </c>
      <c r="DZ9" s="25">
        <f t="shared" si="37"/>
        <v>7</v>
      </c>
      <c r="EA9" s="26">
        <f t="shared" si="38"/>
        <v>43441</v>
      </c>
      <c r="EB9" s="24" t="str">
        <f t="shared" si="39"/>
        <v/>
      </c>
      <c r="EC9" s="54" t="str">
        <f>IF(ISNA(VLOOKUP(DT9,Aufenthalte!$A:$G,7,FALSE))=TRUE,"",VLOOKUP(DT9,Aufenthalte!$A:$G,7,FALSE))</f>
        <v xml:space="preserve">
</v>
      </c>
      <c r="ED9" s="7" t="str">
        <f t="shared" si="70"/>
        <v/>
      </c>
      <c r="EE9" s="27">
        <f>DATE(Konfiguration!$B$2+1,1,$B9)</f>
        <v>43472</v>
      </c>
      <c r="EF9" s="28">
        <f t="shared" si="71"/>
        <v>0</v>
      </c>
      <c r="EG9" s="28">
        <f>IF(ISNA(VLOOKUP(EE9,Ferien!$A:$A,1,FALSE))=TRUE,0,1)</f>
        <v>0</v>
      </c>
      <c r="EH9" s="28">
        <f>IF(ISNA(VLOOKUP(EE9,Feiertage!$A:$A,1,FALSE))=TRUE,0,1)</f>
        <v>0</v>
      </c>
      <c r="EI9" s="28">
        <f>IF(ISNA(VLOOKUP(EE9,Termine!$A:$A,1,FALSE))=TRUE,0,1)</f>
        <v>0</v>
      </c>
      <c r="EJ9" s="28" t="str">
        <f>IF(ISNA(VLOOKUP(EE9,Aufenthalte!$A:$B,2,FALSE))=TRUE,"",VLOOKUP(EE9,Aufenthalte!$A:$B,2,FALSE))</f>
        <v>Mama</v>
      </c>
      <c r="EK9" s="25">
        <f t="shared" si="41"/>
        <v>7</v>
      </c>
      <c r="EL9" s="26">
        <f t="shared" si="42"/>
        <v>43472</v>
      </c>
      <c r="EM9" s="24" t="str">
        <f t="shared" si="43"/>
        <v/>
      </c>
      <c r="EN9" s="54" t="str">
        <f>IF(ISNA(VLOOKUP(EE9,Aufenthalte!$A:$G,7,FALSE))=TRUE,"",VLOOKUP(EE9,Aufenthalte!$A:$G,7,FALSE))</f>
        <v xml:space="preserve">
</v>
      </c>
      <c r="EO9" s="7">
        <f t="shared" si="72"/>
        <v>2</v>
      </c>
    </row>
    <row r="10" spans="2:145" s="1" customFormat="1" ht="21" customHeight="1">
      <c r="B10" s="8">
        <v>8</v>
      </c>
      <c r="C10" s="27">
        <f>DATE(Konfiguration!$B$2,1,$B10)</f>
        <v>43108</v>
      </c>
      <c r="D10" s="28">
        <f t="shared" si="45"/>
        <v>0</v>
      </c>
      <c r="E10" s="28">
        <f>IF(ISNA(VLOOKUP(C10,Ferien!$A:$A,1,FALSE))=TRUE,0,1)</f>
        <v>1</v>
      </c>
      <c r="F10" s="28">
        <f>IF(ISNA(VLOOKUP(C10,Feiertage!$A:$A,1,FALSE))=TRUE,0,1)</f>
        <v>0</v>
      </c>
      <c r="G10" s="28">
        <f>IF(ISNA(VLOOKUP(C10,Termine!$A:$A,1,FALSE))=TRUE,0,1)</f>
        <v>0</v>
      </c>
      <c r="H10" s="28" t="str">
        <f>IF(ISNA(VLOOKUP(C10,Aufenthalte!$A:$B,2,FALSE))=TRUE,"",VLOOKUP(C10,Aufenthalte!$A:$B,2,FALSE))</f>
        <v>Papa</v>
      </c>
      <c r="I10" s="25">
        <f t="shared" si="46"/>
        <v>8</v>
      </c>
      <c r="J10" s="26">
        <f t="shared" si="0"/>
        <v>43108</v>
      </c>
      <c r="K10" s="24" t="str">
        <f t="shared" si="47"/>
        <v/>
      </c>
      <c r="L10" s="54" t="str">
        <f>IF(ISNA(VLOOKUP(C10,Aufenthalte!$A:$G,7,FALSE))=TRUE,"",VLOOKUP(C10,Aufenthalte!$A:$G,7,FALSE))</f>
        <v xml:space="preserve">
</v>
      </c>
      <c r="M10" s="7">
        <f t="shared" si="77"/>
        <v>2</v>
      </c>
      <c r="N10" s="27">
        <f>DATE(Konfiguration!$B$2,2,$B10)</f>
        <v>43139</v>
      </c>
      <c r="O10" s="28">
        <f t="shared" si="48"/>
        <v>0</v>
      </c>
      <c r="P10" s="28">
        <f>IF(ISNA(VLOOKUP(N10,Ferien!$A:$A,1,FALSE))=TRUE,0,1)</f>
        <v>0</v>
      </c>
      <c r="Q10" s="28">
        <f>IF(ISNA(VLOOKUP(N10,Feiertage!$A:$A,1,FALSE))=TRUE,0,1)</f>
        <v>0</v>
      </c>
      <c r="R10" s="28">
        <f>IF(ISNA(VLOOKUP(N10,Termine!$A:$A,1,FALSE))=TRUE,0,1)</f>
        <v>0</v>
      </c>
      <c r="S10" s="28" t="str">
        <f>IF(ISNA(VLOOKUP(N10,Aufenthalte!$A:$B,2,FALSE))=TRUE,"",VLOOKUP(N10,Aufenthalte!$A:$B,2,FALSE))</f>
        <v>Mama</v>
      </c>
      <c r="T10" s="25">
        <f t="shared" si="49"/>
        <v>8</v>
      </c>
      <c r="U10" s="26">
        <f t="shared" si="50"/>
        <v>43139</v>
      </c>
      <c r="V10" s="24" t="str">
        <f t="shared" si="2"/>
        <v/>
      </c>
      <c r="W10" s="54" t="str">
        <f>IF(ISNA(VLOOKUP(N10,Aufenthalte!$A:$G,7,FALSE))=TRUE,"",VLOOKUP(N10,Aufenthalte!$A:$G,7,FALSE))</f>
        <v xml:space="preserve">
</v>
      </c>
      <c r="X10" s="7" t="str">
        <f t="shared" si="51"/>
        <v/>
      </c>
      <c r="Y10" s="27">
        <f>DATE(Konfiguration!$B$2,3,$B10)</f>
        <v>43167</v>
      </c>
      <c r="Z10" s="28">
        <f t="shared" si="73"/>
        <v>0</v>
      </c>
      <c r="AA10" s="28">
        <f>IF(ISNA(VLOOKUP(Y10,Ferien!$A:$A,1,FALSE))=TRUE,0,1)</f>
        <v>0</v>
      </c>
      <c r="AB10" s="28">
        <f>IF(ISNA(VLOOKUP(Y10,Feiertage!$A:$A,1,FALSE))=TRUE,0,1)</f>
        <v>0</v>
      </c>
      <c r="AC10" s="28">
        <f>IF(ISNA(VLOOKUP(Y10,Termine!$A:$A,1,FALSE))=TRUE,0,1)</f>
        <v>0</v>
      </c>
      <c r="AD10" s="28" t="str">
        <f>IF(ISNA(VLOOKUP(Y10,Aufenthalte!$A:$B,2,FALSE))=TRUE,"",VLOOKUP(Y10,Aufenthalte!$A:$B,2,FALSE))</f>
        <v>Mama</v>
      </c>
      <c r="AE10" s="25">
        <f t="shared" si="74"/>
        <v>8</v>
      </c>
      <c r="AF10" s="26">
        <f t="shared" si="75"/>
        <v>43167</v>
      </c>
      <c r="AG10" s="24" t="str">
        <f t="shared" si="76"/>
        <v/>
      </c>
      <c r="AH10" s="54" t="str">
        <f>IF(ISNA(VLOOKUP(Y10,Aufenthalte!$A:$G,7,FALSE))=TRUE,"",VLOOKUP(Y10,Aufenthalte!$A:$G,7,FALSE))</f>
        <v xml:space="preserve">
</v>
      </c>
      <c r="AI10" s="7" t="str">
        <f t="shared" si="52"/>
        <v/>
      </c>
      <c r="AJ10" s="27">
        <f>DATE(Konfiguration!$B$2,4,$B10)</f>
        <v>43198</v>
      </c>
      <c r="AK10" s="28">
        <f t="shared" si="53"/>
        <v>1</v>
      </c>
      <c r="AL10" s="28">
        <f>IF(ISNA(VLOOKUP(AJ10,Ferien!$A:$A,1,FALSE))=TRUE,0,1)</f>
        <v>0</v>
      </c>
      <c r="AM10" s="28">
        <f>IF(ISNA(VLOOKUP(AJ10,Feiertage!$A:$A,1,FALSE))=TRUE,0,1)</f>
        <v>0</v>
      </c>
      <c r="AN10" s="28">
        <f>IF(ISNA(VLOOKUP(AJ10,Termine!$A:$A,1,FALSE))=TRUE,0,1)</f>
        <v>0</v>
      </c>
      <c r="AO10" s="28" t="str">
        <f>IF(ISNA(VLOOKUP(AJ10,Aufenthalte!$A:$B,2,FALSE))=TRUE,"",VLOOKUP(AJ10,Aufenthalte!$A:$B,2,FALSE))</f>
        <v>Mama</v>
      </c>
      <c r="AP10" s="25">
        <f t="shared" si="5"/>
        <v>8</v>
      </c>
      <c r="AQ10" s="26">
        <f t="shared" si="6"/>
        <v>43198</v>
      </c>
      <c r="AR10" s="24" t="str">
        <f t="shared" si="7"/>
        <v/>
      </c>
      <c r="AS10" s="54" t="str">
        <f>IF(ISNA(VLOOKUP(AJ10,Aufenthalte!$A:$G,7,FALSE))=TRUE,"",VLOOKUP(AJ10,Aufenthalte!$A:$G,7,FALSE))</f>
        <v xml:space="preserve">
</v>
      </c>
      <c r="AT10" s="7" t="str">
        <f t="shared" si="54"/>
        <v/>
      </c>
      <c r="AU10" s="27">
        <f>DATE(Konfiguration!$B$2,5,$B10)</f>
        <v>43228</v>
      </c>
      <c r="AV10" s="28">
        <f t="shared" si="55"/>
        <v>0</v>
      </c>
      <c r="AW10" s="28">
        <f>IF(ISNA(VLOOKUP(AU10,Ferien!$A:$A,1,FALSE))=TRUE,0,1)</f>
        <v>0</v>
      </c>
      <c r="AX10" s="28">
        <f>IF(ISNA(VLOOKUP(AU10,Feiertage!$A:$A,1,FALSE))=TRUE,0,1)</f>
        <v>0</v>
      </c>
      <c r="AY10" s="28">
        <f>IF(ISNA(VLOOKUP(AU10,Termine!$A:$A,1,FALSE))=TRUE,0,1)</f>
        <v>0</v>
      </c>
      <c r="AZ10" s="28" t="str">
        <f>IF(ISNA(VLOOKUP(AU10,Aufenthalte!$A:$B,2,FALSE))=TRUE,"",VLOOKUP(AU10,Aufenthalte!$A:$B,2,FALSE))</f>
        <v>Mama</v>
      </c>
      <c r="BA10" s="25">
        <f t="shared" si="9"/>
        <v>8</v>
      </c>
      <c r="BB10" s="26">
        <f t="shared" si="10"/>
        <v>43228</v>
      </c>
      <c r="BC10" s="24" t="str">
        <f t="shared" si="11"/>
        <v/>
      </c>
      <c r="BD10" s="54" t="str">
        <f>IF(ISNA(VLOOKUP(AU10,Aufenthalte!$A:$G,7,FALSE))=TRUE,"",VLOOKUP(AU10,Aufenthalte!$A:$G,7,FALSE))</f>
        <v xml:space="preserve">
</v>
      </c>
      <c r="BE10" s="7" t="str">
        <f t="shared" si="56"/>
        <v/>
      </c>
      <c r="BF10" s="27">
        <f>DATE(Konfiguration!$B$2,6,$B10)</f>
        <v>43259</v>
      </c>
      <c r="BG10" s="28">
        <f t="shared" si="57"/>
        <v>0</v>
      </c>
      <c r="BH10" s="28">
        <f>IF(ISNA(VLOOKUP(BF10,Ferien!$A:$A,1,FALSE))=TRUE,0,1)</f>
        <v>0</v>
      </c>
      <c r="BI10" s="28">
        <f>IF(ISNA(VLOOKUP(BF10,Feiertage!$A:$A,1,FALSE))=TRUE,0,1)</f>
        <v>0</v>
      </c>
      <c r="BJ10" s="28">
        <f>IF(ISNA(VLOOKUP(BF10,Termine!$A:$A,1,FALSE))=TRUE,0,1)</f>
        <v>0</v>
      </c>
      <c r="BK10" s="28" t="str">
        <f>IF(ISNA(VLOOKUP(BF10,Aufenthalte!$A:$B,2,FALSE))=TRUE,"",VLOOKUP(BF10,Aufenthalte!$A:$B,2,FALSE))</f>
        <v>Mama</v>
      </c>
      <c r="BL10" s="25">
        <f t="shared" si="13"/>
        <v>8</v>
      </c>
      <c r="BM10" s="26">
        <f t="shared" si="14"/>
        <v>43259</v>
      </c>
      <c r="BN10" s="24" t="str">
        <f t="shared" si="15"/>
        <v/>
      </c>
      <c r="BO10" s="54" t="str">
        <f>IF(ISNA(VLOOKUP(BF10,Aufenthalte!$A:$G,7,FALSE))=TRUE,"",VLOOKUP(BF10,Aufenthalte!$A:$G,7,FALSE))</f>
        <v xml:space="preserve">
</v>
      </c>
      <c r="BP10" s="7" t="str">
        <f t="shared" si="58"/>
        <v/>
      </c>
      <c r="BQ10" s="27">
        <f>DATE(Konfiguration!$B$2,7,$B10)</f>
        <v>43289</v>
      </c>
      <c r="BR10" s="28">
        <f t="shared" si="59"/>
        <v>1</v>
      </c>
      <c r="BS10" s="28">
        <f>IF(ISNA(VLOOKUP(BQ10,Ferien!$A:$A,1,FALSE))=TRUE,0,1)</f>
        <v>1</v>
      </c>
      <c r="BT10" s="28">
        <f>IF(ISNA(VLOOKUP(BQ10,Feiertage!$A:$A,1,FALSE))=TRUE,0,1)</f>
        <v>0</v>
      </c>
      <c r="BU10" s="28">
        <f>IF(ISNA(VLOOKUP(BQ10,Termine!$A:$A,1,FALSE))=TRUE,0,1)</f>
        <v>0</v>
      </c>
      <c r="BV10" s="28" t="str">
        <f>IF(ISNA(VLOOKUP(BQ10,Aufenthalte!$A:$B,2,FALSE))=TRUE,"",VLOOKUP(BQ10,Aufenthalte!$A:$B,2,FALSE))</f>
        <v>Mama</v>
      </c>
      <c r="BW10" s="25">
        <f t="shared" si="17"/>
        <v>8</v>
      </c>
      <c r="BX10" s="26">
        <f t="shared" si="18"/>
        <v>43289</v>
      </c>
      <c r="BY10" s="24" t="str">
        <f t="shared" si="19"/>
        <v/>
      </c>
      <c r="BZ10" s="54" t="str">
        <f>IF(ISNA(VLOOKUP(BQ10,Aufenthalte!$A:$G,7,FALSE))=TRUE,"",VLOOKUP(BQ10,Aufenthalte!$A:$G,7,FALSE))</f>
        <v xml:space="preserve">
</v>
      </c>
      <c r="CA10" s="7" t="str">
        <f t="shared" si="60"/>
        <v/>
      </c>
      <c r="CB10" s="27">
        <f>DATE(Konfiguration!$B$2,8,$B10)</f>
        <v>43320</v>
      </c>
      <c r="CC10" s="28">
        <f t="shared" si="61"/>
        <v>0</v>
      </c>
      <c r="CD10" s="28">
        <f>IF(ISNA(VLOOKUP(CB10,Ferien!$A:$A,1,FALSE))=TRUE,0,1)</f>
        <v>0</v>
      </c>
      <c r="CE10" s="28">
        <f>IF(ISNA(VLOOKUP(CB10,Feiertage!$A:$A,1,FALSE))=TRUE,0,1)</f>
        <v>0</v>
      </c>
      <c r="CF10" s="28">
        <f>IF(ISNA(VLOOKUP(CB10,Termine!$A:$A,1,FALSE))=TRUE,0,1)</f>
        <v>0</v>
      </c>
      <c r="CG10" s="28" t="str">
        <f>IF(ISNA(VLOOKUP(CB10,Aufenthalte!$A:$B,2,FALSE))=TRUE,"",VLOOKUP(CB10,Aufenthalte!$A:$B,2,FALSE))</f>
        <v>Mama</v>
      </c>
      <c r="CH10" s="25">
        <f t="shared" si="21"/>
        <v>8</v>
      </c>
      <c r="CI10" s="26">
        <f t="shared" si="22"/>
        <v>43320</v>
      </c>
      <c r="CJ10" s="24" t="str">
        <f t="shared" si="23"/>
        <v/>
      </c>
      <c r="CK10" s="54" t="str">
        <f>IF(ISNA(VLOOKUP(CB10,Aufenthalte!$A:$G,7,FALSE))=TRUE,"",VLOOKUP(CB10,Aufenthalte!$A:$G,7,FALSE))</f>
        <v xml:space="preserve">
</v>
      </c>
      <c r="CL10" s="7" t="str">
        <f t="shared" si="62"/>
        <v/>
      </c>
      <c r="CM10" s="27">
        <f>DATE(Konfiguration!$B$2,9,$B10)</f>
        <v>43351</v>
      </c>
      <c r="CN10" s="28">
        <f t="shared" si="63"/>
        <v>1</v>
      </c>
      <c r="CO10" s="28">
        <f>IF(ISNA(VLOOKUP(CM10,Ferien!$A:$A,1,FALSE))=TRUE,0,1)</f>
        <v>0</v>
      </c>
      <c r="CP10" s="28">
        <f>IF(ISNA(VLOOKUP(CM10,Feiertage!$A:$A,1,FALSE))=TRUE,0,1)</f>
        <v>0</v>
      </c>
      <c r="CQ10" s="28">
        <f>IF(ISNA(VLOOKUP(CM10,Termine!$A:$A,1,FALSE))=TRUE,0,1)</f>
        <v>0</v>
      </c>
      <c r="CR10" s="28" t="str">
        <f>IF(ISNA(VLOOKUP(CM10,Aufenthalte!$A:$B,2,FALSE))=TRUE,"",VLOOKUP(CM10,Aufenthalte!$A:$B,2,FALSE))</f>
        <v>Mama</v>
      </c>
      <c r="CS10" s="25">
        <f t="shared" si="25"/>
        <v>8</v>
      </c>
      <c r="CT10" s="26">
        <f t="shared" si="26"/>
        <v>43351</v>
      </c>
      <c r="CU10" s="24" t="str">
        <f t="shared" si="27"/>
        <v/>
      </c>
      <c r="CV10" s="54" t="str">
        <f>IF(ISNA(VLOOKUP(CM10,Aufenthalte!$A:$G,7,FALSE))=TRUE,"",VLOOKUP(CM10,Aufenthalte!$A:$G,7,FALSE))</f>
        <v xml:space="preserve">
</v>
      </c>
      <c r="CW10" s="7" t="str">
        <f t="shared" si="64"/>
        <v/>
      </c>
      <c r="CX10" s="27">
        <f>DATE(Konfiguration!$B$2,10,$B10)</f>
        <v>43381</v>
      </c>
      <c r="CY10" s="28">
        <f t="shared" si="65"/>
        <v>0</v>
      </c>
      <c r="CZ10" s="28">
        <f>IF(ISNA(VLOOKUP(CX10,Ferien!$A:$A,1,FALSE))=TRUE,0,1)</f>
        <v>1</v>
      </c>
      <c r="DA10" s="28">
        <f>IF(ISNA(VLOOKUP(CX10,Feiertage!$A:$A,1,FALSE))=TRUE,0,1)</f>
        <v>0</v>
      </c>
      <c r="DB10" s="28">
        <f>IF(ISNA(VLOOKUP(CX10,Termine!$A:$A,1,FALSE))=TRUE,0,1)</f>
        <v>0</v>
      </c>
      <c r="DC10" s="28" t="str">
        <f>IF(ISNA(VLOOKUP(CX10,Aufenthalte!$A:$B,2,FALSE))=TRUE,"",VLOOKUP(CX10,Aufenthalte!$A:$B,2,FALSE))</f>
        <v>Mama</v>
      </c>
      <c r="DD10" s="25">
        <f t="shared" si="29"/>
        <v>8</v>
      </c>
      <c r="DE10" s="26">
        <f t="shared" si="30"/>
        <v>43381</v>
      </c>
      <c r="DF10" s="24" t="str">
        <f t="shared" si="31"/>
        <v/>
      </c>
      <c r="DG10" s="54" t="str">
        <f>IF(ISNA(VLOOKUP(CX10,Aufenthalte!$A:$G,7,FALSE))=TRUE,"",VLOOKUP(CX10,Aufenthalte!$A:$G,7,FALSE))</f>
        <v xml:space="preserve">
</v>
      </c>
      <c r="DH10" s="7">
        <f t="shared" si="66"/>
        <v>41</v>
      </c>
      <c r="DI10" s="27">
        <f>DATE(Konfiguration!$B$2,11,$B10)</f>
        <v>43412</v>
      </c>
      <c r="DJ10" s="28">
        <f t="shared" si="67"/>
        <v>0</v>
      </c>
      <c r="DK10" s="28">
        <f>IF(ISNA(VLOOKUP(DI10,Ferien!$A:$A,1,FALSE))=TRUE,0,1)</f>
        <v>0</v>
      </c>
      <c r="DL10" s="28">
        <f>IF(ISNA(VLOOKUP(DI10,Feiertage!$A:$A,1,FALSE))=TRUE,0,1)</f>
        <v>0</v>
      </c>
      <c r="DM10" s="28">
        <f>IF(ISNA(VLOOKUP(DI10,Termine!$A:$A,1,FALSE))=TRUE,0,1)</f>
        <v>0</v>
      </c>
      <c r="DN10" s="28" t="str">
        <f>IF(ISNA(VLOOKUP(DI10,Aufenthalte!$A:$B,2,FALSE))=TRUE,"",VLOOKUP(DI10,Aufenthalte!$A:$B,2,FALSE))</f>
        <v>Mama</v>
      </c>
      <c r="DO10" s="25">
        <f t="shared" si="33"/>
        <v>8</v>
      </c>
      <c r="DP10" s="26">
        <f t="shared" si="34"/>
        <v>43412</v>
      </c>
      <c r="DQ10" s="24" t="str">
        <f t="shared" si="35"/>
        <v/>
      </c>
      <c r="DR10" s="54" t="str">
        <f>IF(ISNA(VLOOKUP(DI10,Aufenthalte!$A:$G,7,FALSE))=TRUE,"",VLOOKUP(DI10,Aufenthalte!$A:$G,7,FALSE))</f>
        <v xml:space="preserve">
</v>
      </c>
      <c r="DS10" s="7" t="str">
        <f t="shared" si="68"/>
        <v/>
      </c>
      <c r="DT10" s="27">
        <f>DATE(Konfiguration!$B$2,12,$B10)</f>
        <v>43442</v>
      </c>
      <c r="DU10" s="28">
        <f t="shared" si="69"/>
        <v>1</v>
      </c>
      <c r="DV10" s="28">
        <f>IF(ISNA(VLOOKUP(DT10,Ferien!$A:$A,1,FALSE))=TRUE,0,1)</f>
        <v>0</v>
      </c>
      <c r="DW10" s="28">
        <f>IF(ISNA(VLOOKUP(DT10,Feiertage!$A:$A,1,FALSE))=TRUE,0,1)</f>
        <v>0</v>
      </c>
      <c r="DX10" s="28">
        <f>IF(ISNA(VLOOKUP(DT10,Termine!$A:$A,1,FALSE))=TRUE,0,1)</f>
        <v>0</v>
      </c>
      <c r="DY10" s="28" t="str">
        <f>IF(ISNA(VLOOKUP(DT10,Aufenthalte!$A:$B,2,FALSE))=TRUE,"",VLOOKUP(DT10,Aufenthalte!$A:$B,2,FALSE))</f>
        <v>Mama</v>
      </c>
      <c r="DZ10" s="25">
        <f t="shared" si="37"/>
        <v>8</v>
      </c>
      <c r="EA10" s="26">
        <f t="shared" si="38"/>
        <v>43442</v>
      </c>
      <c r="EB10" s="24" t="str">
        <f t="shared" si="39"/>
        <v/>
      </c>
      <c r="EC10" s="54" t="str">
        <f>IF(ISNA(VLOOKUP(DT10,Aufenthalte!$A:$G,7,FALSE))=TRUE,"",VLOOKUP(DT10,Aufenthalte!$A:$G,7,FALSE))</f>
        <v xml:space="preserve">
</v>
      </c>
      <c r="ED10" s="7" t="str">
        <f t="shared" si="70"/>
        <v/>
      </c>
      <c r="EE10" s="27">
        <f>DATE(Konfiguration!$B$2+1,1,$B10)</f>
        <v>43473</v>
      </c>
      <c r="EF10" s="28">
        <f t="shared" si="71"/>
        <v>0</v>
      </c>
      <c r="EG10" s="28">
        <f>IF(ISNA(VLOOKUP(EE10,Ferien!$A:$A,1,FALSE))=TRUE,0,1)</f>
        <v>0</v>
      </c>
      <c r="EH10" s="28">
        <f>IF(ISNA(VLOOKUP(EE10,Feiertage!$A:$A,1,FALSE))=TRUE,0,1)</f>
        <v>0</v>
      </c>
      <c r="EI10" s="28">
        <f>IF(ISNA(VLOOKUP(EE10,Termine!$A:$A,1,FALSE))=TRUE,0,1)</f>
        <v>0</v>
      </c>
      <c r="EJ10" s="28" t="str">
        <f>IF(ISNA(VLOOKUP(EE10,Aufenthalte!$A:$B,2,FALSE))=TRUE,"",VLOOKUP(EE10,Aufenthalte!$A:$B,2,FALSE))</f>
        <v>Mama</v>
      </c>
      <c r="EK10" s="25">
        <f t="shared" si="41"/>
        <v>8</v>
      </c>
      <c r="EL10" s="26">
        <f t="shared" si="42"/>
        <v>43473</v>
      </c>
      <c r="EM10" s="24" t="str">
        <f t="shared" si="43"/>
        <v/>
      </c>
      <c r="EN10" s="54" t="str">
        <f>IF(ISNA(VLOOKUP(EE10,Aufenthalte!$A:$G,7,FALSE))=TRUE,"",VLOOKUP(EE10,Aufenthalte!$A:$G,7,FALSE))</f>
        <v xml:space="preserve">
</v>
      </c>
      <c r="EO10" s="7" t="str">
        <f t="shared" si="72"/>
        <v/>
      </c>
    </row>
    <row r="11" spans="2:145" s="1" customFormat="1" ht="21" customHeight="1">
      <c r="B11" s="8">
        <v>9</v>
      </c>
      <c r="C11" s="27">
        <f>DATE(Konfiguration!$B$2,1,$B11)</f>
        <v>43109</v>
      </c>
      <c r="D11" s="28">
        <f t="shared" si="45"/>
        <v>0</v>
      </c>
      <c r="E11" s="28">
        <f>IF(ISNA(VLOOKUP(C11,Ferien!$A:$A,1,FALSE))=TRUE,0,1)</f>
        <v>1</v>
      </c>
      <c r="F11" s="28">
        <f>IF(ISNA(VLOOKUP(C11,Feiertage!$A:$A,1,FALSE))=TRUE,0,1)</f>
        <v>0</v>
      </c>
      <c r="G11" s="28">
        <f>IF(ISNA(VLOOKUP(C11,Termine!$A:$A,1,FALSE))=TRUE,0,1)</f>
        <v>0</v>
      </c>
      <c r="H11" s="28" t="str">
        <f>IF(ISNA(VLOOKUP(C11,Aufenthalte!$A:$B,2,FALSE))=TRUE,"",VLOOKUP(C11,Aufenthalte!$A:$B,2,FALSE))</f>
        <v>Papa</v>
      </c>
      <c r="I11" s="25">
        <f t="shared" si="46"/>
        <v>9</v>
      </c>
      <c r="J11" s="26">
        <f t="shared" si="0"/>
        <v>43109</v>
      </c>
      <c r="K11" s="24" t="str">
        <f t="shared" si="47"/>
        <v/>
      </c>
      <c r="L11" s="54" t="str">
        <f>IF(ISNA(VLOOKUP(C11,Aufenthalte!$A:$G,7,FALSE))=TRUE,"",VLOOKUP(C11,Aufenthalte!$A:$G,7,FALSE))</f>
        <v xml:space="preserve">
17:00</v>
      </c>
      <c r="M11" s="7" t="str">
        <f t="shared" si="77"/>
        <v/>
      </c>
      <c r="N11" s="27">
        <f>DATE(Konfiguration!$B$2,2,$B11)</f>
        <v>43140</v>
      </c>
      <c r="O11" s="28">
        <f t="shared" si="48"/>
        <v>0</v>
      </c>
      <c r="P11" s="28">
        <f>IF(ISNA(VLOOKUP(N11,Ferien!$A:$A,1,FALSE))=TRUE,0,1)</f>
        <v>1</v>
      </c>
      <c r="Q11" s="28">
        <f>IF(ISNA(VLOOKUP(N11,Feiertage!$A:$A,1,FALSE))=TRUE,0,1)</f>
        <v>0</v>
      </c>
      <c r="R11" s="28">
        <f>IF(ISNA(VLOOKUP(N11,Termine!$A:$A,1,FALSE))=TRUE,0,1)</f>
        <v>0</v>
      </c>
      <c r="S11" s="28" t="str">
        <f>IF(ISNA(VLOOKUP(N11,Aufenthalte!$A:$B,2,FALSE))=TRUE,"",VLOOKUP(N11,Aufenthalte!$A:$B,2,FALSE))</f>
        <v>Mama</v>
      </c>
      <c r="T11" s="25">
        <f t="shared" si="49"/>
        <v>9</v>
      </c>
      <c r="U11" s="26">
        <f t="shared" si="50"/>
        <v>43140</v>
      </c>
      <c r="V11" s="24" t="str">
        <f t="shared" si="2"/>
        <v/>
      </c>
      <c r="W11" s="54" t="str">
        <f>IF(ISNA(VLOOKUP(N11,Aufenthalte!$A:$G,7,FALSE))=TRUE,"",VLOOKUP(N11,Aufenthalte!$A:$G,7,FALSE))</f>
        <v xml:space="preserve">
</v>
      </c>
      <c r="X11" s="7" t="str">
        <f t="shared" si="51"/>
        <v/>
      </c>
      <c r="Y11" s="27">
        <f>DATE(Konfiguration!$B$2,3,$B11)</f>
        <v>43168</v>
      </c>
      <c r="Z11" s="28">
        <f t="shared" si="73"/>
        <v>0</v>
      </c>
      <c r="AA11" s="28">
        <f>IF(ISNA(VLOOKUP(Y11,Ferien!$A:$A,1,FALSE))=TRUE,0,1)</f>
        <v>0</v>
      </c>
      <c r="AB11" s="28">
        <f>IF(ISNA(VLOOKUP(Y11,Feiertage!$A:$A,1,FALSE))=TRUE,0,1)</f>
        <v>0</v>
      </c>
      <c r="AC11" s="28">
        <f>IF(ISNA(VLOOKUP(Y11,Termine!$A:$A,1,FALSE))=TRUE,0,1)</f>
        <v>0</v>
      </c>
      <c r="AD11" s="28" t="str">
        <f>IF(ISNA(VLOOKUP(Y11,Aufenthalte!$A:$B,2,FALSE))=TRUE,"",VLOOKUP(Y11,Aufenthalte!$A:$B,2,FALSE))</f>
        <v>Mama</v>
      </c>
      <c r="AE11" s="25">
        <f t="shared" si="74"/>
        <v>9</v>
      </c>
      <c r="AF11" s="26">
        <f t="shared" si="75"/>
        <v>43168</v>
      </c>
      <c r="AG11" s="24" t="str">
        <f t="shared" si="76"/>
        <v/>
      </c>
      <c r="AH11" s="54" t="str">
        <f>IF(ISNA(VLOOKUP(Y11,Aufenthalte!$A:$G,7,FALSE))=TRUE,"",VLOOKUP(Y11,Aufenthalte!$A:$G,7,FALSE))</f>
        <v xml:space="preserve">
</v>
      </c>
      <c r="AI11" s="7" t="str">
        <f t="shared" si="52"/>
        <v/>
      </c>
      <c r="AJ11" s="27">
        <f>DATE(Konfiguration!$B$2,4,$B11)</f>
        <v>43199</v>
      </c>
      <c r="AK11" s="28">
        <f t="shared" si="53"/>
        <v>0</v>
      </c>
      <c r="AL11" s="28">
        <f>IF(ISNA(VLOOKUP(AJ11,Ferien!$A:$A,1,FALSE))=TRUE,0,1)</f>
        <v>0</v>
      </c>
      <c r="AM11" s="28">
        <f>IF(ISNA(VLOOKUP(AJ11,Feiertage!$A:$A,1,FALSE))=TRUE,0,1)</f>
        <v>0</v>
      </c>
      <c r="AN11" s="28">
        <f>IF(ISNA(VLOOKUP(AJ11,Termine!$A:$A,1,FALSE))=TRUE,0,1)</f>
        <v>0</v>
      </c>
      <c r="AO11" s="28" t="str">
        <f>IF(ISNA(VLOOKUP(AJ11,Aufenthalte!$A:$B,2,FALSE))=TRUE,"",VLOOKUP(AJ11,Aufenthalte!$A:$B,2,FALSE))</f>
        <v>Mama</v>
      </c>
      <c r="AP11" s="25">
        <f t="shared" si="5"/>
        <v>9</v>
      </c>
      <c r="AQ11" s="26">
        <f t="shared" si="6"/>
        <v>43199</v>
      </c>
      <c r="AR11" s="24" t="str">
        <f t="shared" si="7"/>
        <v/>
      </c>
      <c r="AS11" s="54" t="str">
        <f>IF(ISNA(VLOOKUP(AJ11,Aufenthalte!$A:$G,7,FALSE))=TRUE,"",VLOOKUP(AJ11,Aufenthalte!$A:$G,7,FALSE))</f>
        <v xml:space="preserve">
</v>
      </c>
      <c r="AT11" s="7">
        <f t="shared" si="54"/>
        <v>15</v>
      </c>
      <c r="AU11" s="27">
        <f>DATE(Konfiguration!$B$2,5,$B11)</f>
        <v>43229</v>
      </c>
      <c r="AV11" s="28">
        <f t="shared" si="55"/>
        <v>0</v>
      </c>
      <c r="AW11" s="28">
        <f>IF(ISNA(VLOOKUP(AU11,Ferien!$A:$A,1,FALSE))=TRUE,0,1)</f>
        <v>0</v>
      </c>
      <c r="AX11" s="28">
        <f>IF(ISNA(VLOOKUP(AU11,Feiertage!$A:$A,1,FALSE))=TRUE,0,1)</f>
        <v>0</v>
      </c>
      <c r="AY11" s="28">
        <f>IF(ISNA(VLOOKUP(AU11,Termine!$A:$A,1,FALSE))=TRUE,0,1)</f>
        <v>0</v>
      </c>
      <c r="AZ11" s="28" t="str">
        <f>IF(ISNA(VLOOKUP(AU11,Aufenthalte!$A:$B,2,FALSE))=TRUE,"",VLOOKUP(AU11,Aufenthalte!$A:$B,2,FALSE))</f>
        <v>Mama</v>
      </c>
      <c r="BA11" s="25">
        <f t="shared" si="9"/>
        <v>9</v>
      </c>
      <c r="BB11" s="26">
        <f t="shared" si="10"/>
        <v>43229</v>
      </c>
      <c r="BC11" s="24" t="str">
        <f t="shared" si="11"/>
        <v/>
      </c>
      <c r="BD11" s="54" t="str">
        <f>IF(ISNA(VLOOKUP(AU11,Aufenthalte!$A:$G,7,FALSE))=TRUE,"",VLOOKUP(AU11,Aufenthalte!$A:$G,7,FALSE))</f>
        <v xml:space="preserve">
</v>
      </c>
      <c r="BE11" s="7" t="str">
        <f t="shared" si="56"/>
        <v/>
      </c>
      <c r="BF11" s="27">
        <f>DATE(Konfiguration!$B$2,6,$B11)</f>
        <v>43260</v>
      </c>
      <c r="BG11" s="28">
        <f t="shared" si="57"/>
        <v>1</v>
      </c>
      <c r="BH11" s="28">
        <f>IF(ISNA(VLOOKUP(BF11,Ferien!$A:$A,1,FALSE))=TRUE,0,1)</f>
        <v>0</v>
      </c>
      <c r="BI11" s="28">
        <f>IF(ISNA(VLOOKUP(BF11,Feiertage!$A:$A,1,FALSE))=TRUE,0,1)</f>
        <v>0</v>
      </c>
      <c r="BJ11" s="28">
        <f>IF(ISNA(VLOOKUP(BF11,Termine!$A:$A,1,FALSE))=TRUE,0,1)</f>
        <v>0</v>
      </c>
      <c r="BK11" s="28" t="str">
        <f>IF(ISNA(VLOOKUP(BF11,Aufenthalte!$A:$B,2,FALSE))=TRUE,"",VLOOKUP(BF11,Aufenthalte!$A:$B,2,FALSE))</f>
        <v>Mama</v>
      </c>
      <c r="BL11" s="25">
        <f t="shared" si="13"/>
        <v>9</v>
      </c>
      <c r="BM11" s="26">
        <f t="shared" si="14"/>
        <v>43260</v>
      </c>
      <c r="BN11" s="24" t="str">
        <f t="shared" si="15"/>
        <v/>
      </c>
      <c r="BO11" s="54" t="str">
        <f>IF(ISNA(VLOOKUP(BF11,Aufenthalte!$A:$G,7,FALSE))=TRUE,"",VLOOKUP(BF11,Aufenthalte!$A:$G,7,FALSE))</f>
        <v xml:space="preserve">
</v>
      </c>
      <c r="BP11" s="7" t="str">
        <f t="shared" si="58"/>
        <v/>
      </c>
      <c r="BQ11" s="27">
        <f>DATE(Konfiguration!$B$2,7,$B11)</f>
        <v>43290</v>
      </c>
      <c r="BR11" s="28">
        <f t="shared" si="59"/>
        <v>0</v>
      </c>
      <c r="BS11" s="28">
        <f>IF(ISNA(VLOOKUP(BQ11,Ferien!$A:$A,1,FALSE))=TRUE,0,1)</f>
        <v>1</v>
      </c>
      <c r="BT11" s="28">
        <f>IF(ISNA(VLOOKUP(BQ11,Feiertage!$A:$A,1,FALSE))=TRUE,0,1)</f>
        <v>0</v>
      </c>
      <c r="BU11" s="28">
        <f>IF(ISNA(VLOOKUP(BQ11,Termine!$A:$A,1,FALSE))=TRUE,0,1)</f>
        <v>0</v>
      </c>
      <c r="BV11" s="28" t="str">
        <f>IF(ISNA(VLOOKUP(BQ11,Aufenthalte!$A:$B,2,FALSE))=TRUE,"",VLOOKUP(BQ11,Aufenthalte!$A:$B,2,FALSE))</f>
        <v>Mama</v>
      </c>
      <c r="BW11" s="25">
        <f t="shared" si="17"/>
        <v>9</v>
      </c>
      <c r="BX11" s="26">
        <f t="shared" si="18"/>
        <v>43290</v>
      </c>
      <c r="BY11" s="24" t="str">
        <f t="shared" si="19"/>
        <v/>
      </c>
      <c r="BZ11" s="54" t="str">
        <f>IF(ISNA(VLOOKUP(BQ11,Aufenthalte!$A:$G,7,FALSE))=TRUE,"",VLOOKUP(BQ11,Aufenthalte!$A:$G,7,FALSE))</f>
        <v xml:space="preserve">
</v>
      </c>
      <c r="CA11" s="7">
        <f t="shared" si="60"/>
        <v>28</v>
      </c>
      <c r="CB11" s="27">
        <f>DATE(Konfiguration!$B$2,8,$B11)</f>
        <v>43321</v>
      </c>
      <c r="CC11" s="28">
        <f t="shared" si="61"/>
        <v>0</v>
      </c>
      <c r="CD11" s="28">
        <f>IF(ISNA(VLOOKUP(CB11,Ferien!$A:$A,1,FALSE))=TRUE,0,1)</f>
        <v>0</v>
      </c>
      <c r="CE11" s="28">
        <f>IF(ISNA(VLOOKUP(CB11,Feiertage!$A:$A,1,FALSE))=TRUE,0,1)</f>
        <v>0</v>
      </c>
      <c r="CF11" s="28">
        <f>IF(ISNA(VLOOKUP(CB11,Termine!$A:$A,1,FALSE))=TRUE,0,1)</f>
        <v>0</v>
      </c>
      <c r="CG11" s="28" t="str">
        <f>IF(ISNA(VLOOKUP(CB11,Aufenthalte!$A:$B,2,FALSE))=TRUE,"",VLOOKUP(CB11,Aufenthalte!$A:$B,2,FALSE))</f>
        <v>Mama</v>
      </c>
      <c r="CH11" s="25">
        <f t="shared" si="21"/>
        <v>9</v>
      </c>
      <c r="CI11" s="26">
        <f t="shared" si="22"/>
        <v>43321</v>
      </c>
      <c r="CJ11" s="24" t="str">
        <f t="shared" si="23"/>
        <v/>
      </c>
      <c r="CK11" s="54" t="str">
        <f>IF(ISNA(VLOOKUP(CB11,Aufenthalte!$A:$G,7,FALSE))=TRUE,"",VLOOKUP(CB11,Aufenthalte!$A:$G,7,FALSE))</f>
        <v xml:space="preserve">
</v>
      </c>
      <c r="CL11" s="7" t="str">
        <f t="shared" si="62"/>
        <v/>
      </c>
      <c r="CM11" s="27">
        <f>DATE(Konfiguration!$B$2,9,$B11)</f>
        <v>43352</v>
      </c>
      <c r="CN11" s="28">
        <f t="shared" si="63"/>
        <v>1</v>
      </c>
      <c r="CO11" s="28">
        <f>IF(ISNA(VLOOKUP(CM11,Ferien!$A:$A,1,FALSE))=TRUE,0,1)</f>
        <v>0</v>
      </c>
      <c r="CP11" s="28">
        <f>IF(ISNA(VLOOKUP(CM11,Feiertage!$A:$A,1,FALSE))=TRUE,0,1)</f>
        <v>0</v>
      </c>
      <c r="CQ11" s="28">
        <f>IF(ISNA(VLOOKUP(CM11,Termine!$A:$A,1,FALSE))=TRUE,0,1)</f>
        <v>0</v>
      </c>
      <c r="CR11" s="28" t="str">
        <f>IF(ISNA(VLOOKUP(CM11,Aufenthalte!$A:$B,2,FALSE))=TRUE,"",VLOOKUP(CM11,Aufenthalte!$A:$B,2,FALSE))</f>
        <v>Mama</v>
      </c>
      <c r="CS11" s="25">
        <f t="shared" si="25"/>
        <v>9</v>
      </c>
      <c r="CT11" s="26">
        <f t="shared" si="26"/>
        <v>43352</v>
      </c>
      <c r="CU11" s="24" t="str">
        <f t="shared" si="27"/>
        <v/>
      </c>
      <c r="CV11" s="54" t="str">
        <f>IF(ISNA(VLOOKUP(CM11,Aufenthalte!$A:$G,7,FALSE))=TRUE,"",VLOOKUP(CM11,Aufenthalte!$A:$G,7,FALSE))</f>
        <v xml:space="preserve">
</v>
      </c>
      <c r="CW11" s="7" t="str">
        <f t="shared" si="64"/>
        <v/>
      </c>
      <c r="CX11" s="27">
        <f>DATE(Konfiguration!$B$2,10,$B11)</f>
        <v>43382</v>
      </c>
      <c r="CY11" s="28">
        <f t="shared" si="65"/>
        <v>0</v>
      </c>
      <c r="CZ11" s="28">
        <f>IF(ISNA(VLOOKUP(CX11,Ferien!$A:$A,1,FALSE))=TRUE,0,1)</f>
        <v>1</v>
      </c>
      <c r="DA11" s="28">
        <f>IF(ISNA(VLOOKUP(CX11,Feiertage!$A:$A,1,FALSE))=TRUE,0,1)</f>
        <v>0</v>
      </c>
      <c r="DB11" s="28">
        <f>IF(ISNA(VLOOKUP(CX11,Termine!$A:$A,1,FALSE))=TRUE,0,1)</f>
        <v>0</v>
      </c>
      <c r="DC11" s="28" t="str">
        <f>IF(ISNA(VLOOKUP(CX11,Aufenthalte!$A:$B,2,FALSE))=TRUE,"",VLOOKUP(CX11,Aufenthalte!$A:$B,2,FALSE))</f>
        <v>Mama</v>
      </c>
      <c r="DD11" s="25">
        <f t="shared" si="29"/>
        <v>9</v>
      </c>
      <c r="DE11" s="26">
        <f t="shared" si="30"/>
        <v>43382</v>
      </c>
      <c r="DF11" s="24" t="str">
        <f t="shared" si="31"/>
        <v/>
      </c>
      <c r="DG11" s="54" t="str">
        <f>IF(ISNA(VLOOKUP(CX11,Aufenthalte!$A:$G,7,FALSE))=TRUE,"",VLOOKUP(CX11,Aufenthalte!$A:$G,7,FALSE))</f>
        <v xml:space="preserve">
</v>
      </c>
      <c r="DH11" s="7" t="str">
        <f t="shared" si="66"/>
        <v/>
      </c>
      <c r="DI11" s="27">
        <f>DATE(Konfiguration!$B$2,11,$B11)</f>
        <v>43413</v>
      </c>
      <c r="DJ11" s="28">
        <f t="shared" si="67"/>
        <v>0</v>
      </c>
      <c r="DK11" s="28">
        <f>IF(ISNA(VLOOKUP(DI11,Ferien!$A:$A,1,FALSE))=TRUE,0,1)</f>
        <v>0</v>
      </c>
      <c r="DL11" s="28">
        <f>IF(ISNA(VLOOKUP(DI11,Feiertage!$A:$A,1,FALSE))=TRUE,0,1)</f>
        <v>0</v>
      </c>
      <c r="DM11" s="28">
        <f>IF(ISNA(VLOOKUP(DI11,Termine!$A:$A,1,FALSE))=TRUE,0,1)</f>
        <v>0</v>
      </c>
      <c r="DN11" s="28" t="str">
        <f>IF(ISNA(VLOOKUP(DI11,Aufenthalte!$A:$B,2,FALSE))=TRUE,"",VLOOKUP(DI11,Aufenthalte!$A:$B,2,FALSE))</f>
        <v>Mama</v>
      </c>
      <c r="DO11" s="25">
        <f t="shared" si="33"/>
        <v>9</v>
      </c>
      <c r="DP11" s="26">
        <f t="shared" si="34"/>
        <v>43413</v>
      </c>
      <c r="DQ11" s="24" t="str">
        <f t="shared" si="35"/>
        <v/>
      </c>
      <c r="DR11" s="54" t="str">
        <f>IF(ISNA(VLOOKUP(DI11,Aufenthalte!$A:$G,7,FALSE))=TRUE,"",VLOOKUP(DI11,Aufenthalte!$A:$G,7,FALSE))</f>
        <v xml:space="preserve">
</v>
      </c>
      <c r="DS11" s="7" t="str">
        <f t="shared" si="68"/>
        <v/>
      </c>
      <c r="DT11" s="27">
        <f>DATE(Konfiguration!$B$2,12,$B11)</f>
        <v>43443</v>
      </c>
      <c r="DU11" s="28">
        <f t="shared" si="69"/>
        <v>1</v>
      </c>
      <c r="DV11" s="28">
        <f>IF(ISNA(VLOOKUP(DT11,Ferien!$A:$A,1,FALSE))=TRUE,0,1)</f>
        <v>0</v>
      </c>
      <c r="DW11" s="28">
        <f>IF(ISNA(VLOOKUP(DT11,Feiertage!$A:$A,1,FALSE))=TRUE,0,1)</f>
        <v>0</v>
      </c>
      <c r="DX11" s="28">
        <f>IF(ISNA(VLOOKUP(DT11,Termine!$A:$A,1,FALSE))=TRUE,0,1)</f>
        <v>0</v>
      </c>
      <c r="DY11" s="28" t="str">
        <f>IF(ISNA(VLOOKUP(DT11,Aufenthalte!$A:$B,2,FALSE))=TRUE,"",VLOOKUP(DT11,Aufenthalte!$A:$B,2,FALSE))</f>
        <v>Mama</v>
      </c>
      <c r="DZ11" s="25">
        <f t="shared" si="37"/>
        <v>9</v>
      </c>
      <c r="EA11" s="26">
        <f t="shared" si="38"/>
        <v>43443</v>
      </c>
      <c r="EB11" s="24" t="str">
        <f t="shared" si="39"/>
        <v/>
      </c>
      <c r="EC11" s="54" t="str">
        <f>IF(ISNA(VLOOKUP(DT11,Aufenthalte!$A:$G,7,FALSE))=TRUE,"",VLOOKUP(DT11,Aufenthalte!$A:$G,7,FALSE))</f>
        <v xml:space="preserve">
</v>
      </c>
      <c r="ED11" s="7" t="str">
        <f t="shared" si="70"/>
        <v/>
      </c>
      <c r="EE11" s="27">
        <f>DATE(Konfiguration!$B$2+1,1,$B11)</f>
        <v>43474</v>
      </c>
      <c r="EF11" s="28">
        <f t="shared" si="71"/>
        <v>0</v>
      </c>
      <c r="EG11" s="28">
        <f>IF(ISNA(VLOOKUP(EE11,Ferien!$A:$A,1,FALSE))=TRUE,0,1)</f>
        <v>0</v>
      </c>
      <c r="EH11" s="28">
        <f>IF(ISNA(VLOOKUP(EE11,Feiertage!$A:$A,1,FALSE))=TRUE,0,1)</f>
        <v>0</v>
      </c>
      <c r="EI11" s="28">
        <f>IF(ISNA(VLOOKUP(EE11,Termine!$A:$A,1,FALSE))=TRUE,0,1)</f>
        <v>0</v>
      </c>
      <c r="EJ11" s="28" t="str">
        <f>IF(ISNA(VLOOKUP(EE11,Aufenthalte!$A:$B,2,FALSE))=TRUE,"",VLOOKUP(EE11,Aufenthalte!$A:$B,2,FALSE))</f>
        <v>Mama</v>
      </c>
      <c r="EK11" s="25">
        <f t="shared" si="41"/>
        <v>9</v>
      </c>
      <c r="EL11" s="26">
        <f t="shared" si="42"/>
        <v>43474</v>
      </c>
      <c r="EM11" s="24" t="str">
        <f t="shared" si="43"/>
        <v/>
      </c>
      <c r="EN11" s="54" t="str">
        <f>IF(ISNA(VLOOKUP(EE11,Aufenthalte!$A:$G,7,FALSE))=TRUE,"",VLOOKUP(EE11,Aufenthalte!$A:$G,7,FALSE))</f>
        <v xml:space="preserve">
</v>
      </c>
      <c r="EO11" s="7" t="str">
        <f t="shared" si="72"/>
        <v/>
      </c>
    </row>
    <row r="12" spans="2:145" s="1" customFormat="1" ht="21" customHeight="1">
      <c r="B12" s="8">
        <v>10</v>
      </c>
      <c r="C12" s="27">
        <f>DATE(Konfiguration!$B$2,1,$B12)</f>
        <v>43110</v>
      </c>
      <c r="D12" s="28">
        <f t="shared" si="45"/>
        <v>0</v>
      </c>
      <c r="E12" s="28">
        <f>IF(ISNA(VLOOKUP(C12,Ferien!$A:$A,1,FALSE))=TRUE,0,1)</f>
        <v>0</v>
      </c>
      <c r="F12" s="28">
        <f>IF(ISNA(VLOOKUP(C12,Feiertage!$A:$A,1,FALSE))=TRUE,0,1)</f>
        <v>0</v>
      </c>
      <c r="G12" s="28">
        <f>IF(ISNA(VLOOKUP(C12,Termine!$A:$A,1,FALSE))=TRUE,0,1)</f>
        <v>0</v>
      </c>
      <c r="H12" s="28" t="str">
        <f>IF(ISNA(VLOOKUP(C12,Aufenthalte!$A:$B,2,FALSE))=TRUE,"",VLOOKUP(C12,Aufenthalte!$A:$B,2,FALSE))</f>
        <v>Mama</v>
      </c>
      <c r="I12" s="25">
        <f t="shared" si="46"/>
        <v>10</v>
      </c>
      <c r="J12" s="26">
        <f t="shared" si="0"/>
        <v>43110</v>
      </c>
      <c r="K12" s="24" t="str">
        <f t="shared" si="47"/>
        <v/>
      </c>
      <c r="L12" s="54" t="str">
        <f>IF(ISNA(VLOOKUP(C12,Aufenthalte!$A:$G,7,FALSE))=TRUE,"",VLOOKUP(C12,Aufenthalte!$A:$G,7,FALSE))</f>
        <v xml:space="preserve">
</v>
      </c>
      <c r="M12" s="7" t="str">
        <f t="shared" si="77"/>
        <v/>
      </c>
      <c r="N12" s="27">
        <f>DATE(Konfiguration!$B$2,2,$B12)</f>
        <v>43141</v>
      </c>
      <c r="O12" s="28">
        <f t="shared" si="48"/>
        <v>1</v>
      </c>
      <c r="P12" s="28">
        <f>IF(ISNA(VLOOKUP(N12,Ferien!$A:$A,1,FALSE))=TRUE,0,1)</f>
        <v>0</v>
      </c>
      <c r="Q12" s="28">
        <f>IF(ISNA(VLOOKUP(N12,Feiertage!$A:$A,1,FALSE))=TRUE,0,1)</f>
        <v>0</v>
      </c>
      <c r="R12" s="28">
        <f>IF(ISNA(VLOOKUP(N12,Termine!$A:$A,1,FALSE))=TRUE,0,1)</f>
        <v>0</v>
      </c>
      <c r="S12" s="28" t="str">
        <f>IF(ISNA(VLOOKUP(N12,Aufenthalte!$A:$B,2,FALSE))=TRUE,"",VLOOKUP(N12,Aufenthalte!$A:$B,2,FALSE))</f>
        <v>Mama</v>
      </c>
      <c r="T12" s="25">
        <f t="shared" si="49"/>
        <v>10</v>
      </c>
      <c r="U12" s="26">
        <f t="shared" si="50"/>
        <v>43141</v>
      </c>
      <c r="V12" s="24" t="str">
        <f t="shared" si="2"/>
        <v/>
      </c>
      <c r="W12" s="54" t="str">
        <f>IF(ISNA(VLOOKUP(N12,Aufenthalte!$A:$G,7,FALSE))=TRUE,"",VLOOKUP(N12,Aufenthalte!$A:$G,7,FALSE))</f>
        <v xml:space="preserve">
</v>
      </c>
      <c r="X12" s="7" t="str">
        <f t="shared" si="51"/>
        <v/>
      </c>
      <c r="Y12" s="27">
        <f>DATE(Konfiguration!$B$2,3,$B12)</f>
        <v>43169</v>
      </c>
      <c r="Z12" s="28">
        <f t="shared" si="73"/>
        <v>1</v>
      </c>
      <c r="AA12" s="28">
        <f>IF(ISNA(VLOOKUP(Y12,Ferien!$A:$A,1,FALSE))=TRUE,0,1)</f>
        <v>0</v>
      </c>
      <c r="AB12" s="28">
        <f>IF(ISNA(VLOOKUP(Y12,Feiertage!$A:$A,1,FALSE))=TRUE,0,1)</f>
        <v>0</v>
      </c>
      <c r="AC12" s="28">
        <f>IF(ISNA(VLOOKUP(Y12,Termine!$A:$A,1,FALSE))=TRUE,0,1)</f>
        <v>0</v>
      </c>
      <c r="AD12" s="28" t="str">
        <f>IF(ISNA(VLOOKUP(Y12,Aufenthalte!$A:$B,2,FALSE))=TRUE,"",VLOOKUP(Y12,Aufenthalte!$A:$B,2,FALSE))</f>
        <v>Mama</v>
      </c>
      <c r="AE12" s="25">
        <f t="shared" si="74"/>
        <v>10</v>
      </c>
      <c r="AF12" s="26">
        <f t="shared" si="75"/>
        <v>43169</v>
      </c>
      <c r="AG12" s="24" t="str">
        <f t="shared" si="76"/>
        <v/>
      </c>
      <c r="AH12" s="54" t="str">
        <f>IF(ISNA(VLOOKUP(Y12,Aufenthalte!$A:$G,7,FALSE))=TRUE,"",VLOOKUP(Y12,Aufenthalte!$A:$G,7,FALSE))</f>
        <v xml:space="preserve">
</v>
      </c>
      <c r="AI12" s="7" t="str">
        <f t="shared" si="52"/>
        <v/>
      </c>
      <c r="AJ12" s="27">
        <f>DATE(Konfiguration!$B$2,4,$B12)</f>
        <v>43200</v>
      </c>
      <c r="AK12" s="28">
        <f t="shared" si="53"/>
        <v>0</v>
      </c>
      <c r="AL12" s="28">
        <f>IF(ISNA(VLOOKUP(AJ12,Ferien!$A:$A,1,FALSE))=TRUE,0,1)</f>
        <v>0</v>
      </c>
      <c r="AM12" s="28">
        <f>IF(ISNA(VLOOKUP(AJ12,Feiertage!$A:$A,1,FALSE))=TRUE,0,1)</f>
        <v>0</v>
      </c>
      <c r="AN12" s="28">
        <f>IF(ISNA(VLOOKUP(AJ12,Termine!$A:$A,1,FALSE))=TRUE,0,1)</f>
        <v>0</v>
      </c>
      <c r="AO12" s="28" t="str">
        <f>IF(ISNA(VLOOKUP(AJ12,Aufenthalte!$A:$B,2,FALSE))=TRUE,"",VLOOKUP(AJ12,Aufenthalte!$A:$B,2,FALSE))</f>
        <v>Mama</v>
      </c>
      <c r="AP12" s="25">
        <f t="shared" si="5"/>
        <v>10</v>
      </c>
      <c r="AQ12" s="26">
        <f t="shared" si="6"/>
        <v>43200</v>
      </c>
      <c r="AR12" s="24" t="str">
        <f t="shared" si="7"/>
        <v/>
      </c>
      <c r="AS12" s="54" t="str">
        <f>IF(ISNA(VLOOKUP(AJ12,Aufenthalte!$A:$G,7,FALSE))=TRUE,"",VLOOKUP(AJ12,Aufenthalte!$A:$G,7,FALSE))</f>
        <v xml:space="preserve">
</v>
      </c>
      <c r="AT12" s="7" t="str">
        <f t="shared" si="54"/>
        <v/>
      </c>
      <c r="AU12" s="27">
        <f>DATE(Konfiguration!$B$2,5,$B12)</f>
        <v>43230</v>
      </c>
      <c r="AV12" s="28">
        <f t="shared" si="55"/>
        <v>0</v>
      </c>
      <c r="AW12" s="28">
        <f>IF(ISNA(VLOOKUP(AU12,Ferien!$A:$A,1,FALSE))=TRUE,0,1)</f>
        <v>0</v>
      </c>
      <c r="AX12" s="28">
        <f>IF(ISNA(VLOOKUP(AU12,Feiertage!$A:$A,1,FALSE))=TRUE,0,1)</f>
        <v>1</v>
      </c>
      <c r="AY12" s="28">
        <f>IF(ISNA(VLOOKUP(AU12,Termine!$A:$A,1,FALSE))=TRUE,0,1)</f>
        <v>1</v>
      </c>
      <c r="AZ12" s="28" t="str">
        <f>IF(ISNA(VLOOKUP(AU12,Aufenthalte!$A:$B,2,FALSE))=TRUE,"",VLOOKUP(AU12,Aufenthalte!$A:$B,2,FALSE))</f>
        <v>Mama</v>
      </c>
      <c r="BA12" s="25">
        <f t="shared" si="9"/>
        <v>10</v>
      </c>
      <c r="BB12" s="26">
        <f t="shared" si="10"/>
        <v>43230</v>
      </c>
      <c r="BC12" s="24" t="str">
        <f t="shared" si="11"/>
        <v>ü</v>
      </c>
      <c r="BD12" s="54" t="str">
        <f>IF(ISNA(VLOOKUP(AU12,Aufenthalte!$A:$G,7,FALSE))=TRUE,"",VLOOKUP(AU12,Aufenthalte!$A:$G,7,FALSE))</f>
        <v xml:space="preserve">
</v>
      </c>
      <c r="BE12" s="7" t="str">
        <f t="shared" si="56"/>
        <v/>
      </c>
      <c r="BF12" s="27">
        <f>DATE(Konfiguration!$B$2,6,$B12)</f>
        <v>43261</v>
      </c>
      <c r="BG12" s="28">
        <f t="shared" si="57"/>
        <v>1</v>
      </c>
      <c r="BH12" s="28">
        <f>IF(ISNA(VLOOKUP(BF12,Ferien!$A:$A,1,FALSE))=TRUE,0,1)</f>
        <v>0</v>
      </c>
      <c r="BI12" s="28">
        <f>IF(ISNA(VLOOKUP(BF12,Feiertage!$A:$A,1,FALSE))=TRUE,0,1)</f>
        <v>0</v>
      </c>
      <c r="BJ12" s="28">
        <f>IF(ISNA(VLOOKUP(BF12,Termine!$A:$A,1,FALSE))=TRUE,0,1)</f>
        <v>0</v>
      </c>
      <c r="BK12" s="28" t="str">
        <f>IF(ISNA(VLOOKUP(BF12,Aufenthalte!$A:$B,2,FALSE))=TRUE,"",VLOOKUP(BF12,Aufenthalte!$A:$B,2,FALSE))</f>
        <v>Mama</v>
      </c>
      <c r="BL12" s="25">
        <f t="shared" si="13"/>
        <v>10</v>
      </c>
      <c r="BM12" s="26">
        <f t="shared" si="14"/>
        <v>43261</v>
      </c>
      <c r="BN12" s="24" t="str">
        <f t="shared" si="15"/>
        <v/>
      </c>
      <c r="BO12" s="54" t="str">
        <f>IF(ISNA(VLOOKUP(BF12,Aufenthalte!$A:$G,7,FALSE))=TRUE,"",VLOOKUP(BF12,Aufenthalte!$A:$G,7,FALSE))</f>
        <v xml:space="preserve">
</v>
      </c>
      <c r="BP12" s="7" t="str">
        <f t="shared" si="58"/>
        <v/>
      </c>
      <c r="BQ12" s="27">
        <f>DATE(Konfiguration!$B$2,7,$B12)</f>
        <v>43291</v>
      </c>
      <c r="BR12" s="28">
        <f t="shared" si="59"/>
        <v>0</v>
      </c>
      <c r="BS12" s="28">
        <f>IF(ISNA(VLOOKUP(BQ12,Ferien!$A:$A,1,FALSE))=TRUE,0,1)</f>
        <v>1</v>
      </c>
      <c r="BT12" s="28">
        <f>IF(ISNA(VLOOKUP(BQ12,Feiertage!$A:$A,1,FALSE))=TRUE,0,1)</f>
        <v>0</v>
      </c>
      <c r="BU12" s="28">
        <f>IF(ISNA(VLOOKUP(BQ12,Termine!$A:$A,1,FALSE))=TRUE,0,1)</f>
        <v>0</v>
      </c>
      <c r="BV12" s="28" t="str">
        <f>IF(ISNA(VLOOKUP(BQ12,Aufenthalte!$A:$B,2,FALSE))=TRUE,"",VLOOKUP(BQ12,Aufenthalte!$A:$B,2,FALSE))</f>
        <v>Mama</v>
      </c>
      <c r="BW12" s="25">
        <f t="shared" si="17"/>
        <v>10</v>
      </c>
      <c r="BX12" s="26">
        <f t="shared" si="18"/>
        <v>43291</v>
      </c>
      <c r="BY12" s="24" t="str">
        <f t="shared" si="19"/>
        <v/>
      </c>
      <c r="BZ12" s="54" t="str">
        <f>IF(ISNA(VLOOKUP(BQ12,Aufenthalte!$A:$G,7,FALSE))=TRUE,"",VLOOKUP(BQ12,Aufenthalte!$A:$G,7,FALSE))</f>
        <v xml:space="preserve">
</v>
      </c>
      <c r="CA12" s="7" t="str">
        <f t="shared" si="60"/>
        <v/>
      </c>
      <c r="CB12" s="27">
        <f>DATE(Konfiguration!$B$2,8,$B12)</f>
        <v>43322</v>
      </c>
      <c r="CC12" s="28">
        <f t="shared" si="61"/>
        <v>0</v>
      </c>
      <c r="CD12" s="28">
        <f>IF(ISNA(VLOOKUP(CB12,Ferien!$A:$A,1,FALSE))=TRUE,0,1)</f>
        <v>0</v>
      </c>
      <c r="CE12" s="28">
        <f>IF(ISNA(VLOOKUP(CB12,Feiertage!$A:$A,1,FALSE))=TRUE,0,1)</f>
        <v>0</v>
      </c>
      <c r="CF12" s="28">
        <f>IF(ISNA(VLOOKUP(CB12,Termine!$A:$A,1,FALSE))=TRUE,0,1)</f>
        <v>0</v>
      </c>
      <c r="CG12" s="28" t="str">
        <f>IF(ISNA(VLOOKUP(CB12,Aufenthalte!$A:$B,2,FALSE))=TRUE,"",VLOOKUP(CB12,Aufenthalte!$A:$B,2,FALSE))</f>
        <v>Mama</v>
      </c>
      <c r="CH12" s="25">
        <f t="shared" si="21"/>
        <v>10</v>
      </c>
      <c r="CI12" s="26">
        <f t="shared" si="22"/>
        <v>43322</v>
      </c>
      <c r="CJ12" s="24" t="str">
        <f t="shared" si="23"/>
        <v/>
      </c>
      <c r="CK12" s="54" t="str">
        <f>IF(ISNA(VLOOKUP(CB12,Aufenthalte!$A:$G,7,FALSE))=TRUE,"",VLOOKUP(CB12,Aufenthalte!$A:$G,7,FALSE))</f>
        <v xml:space="preserve">
</v>
      </c>
      <c r="CL12" s="7" t="str">
        <f t="shared" si="62"/>
        <v/>
      </c>
      <c r="CM12" s="27">
        <f>DATE(Konfiguration!$B$2,9,$B12)</f>
        <v>43353</v>
      </c>
      <c r="CN12" s="28">
        <f t="shared" si="63"/>
        <v>0</v>
      </c>
      <c r="CO12" s="28">
        <f>IF(ISNA(VLOOKUP(CM12,Ferien!$A:$A,1,FALSE))=TRUE,0,1)</f>
        <v>0</v>
      </c>
      <c r="CP12" s="28">
        <f>IF(ISNA(VLOOKUP(CM12,Feiertage!$A:$A,1,FALSE))=TRUE,0,1)</f>
        <v>0</v>
      </c>
      <c r="CQ12" s="28">
        <f>IF(ISNA(VLOOKUP(CM12,Termine!$A:$A,1,FALSE))=TRUE,0,1)</f>
        <v>0</v>
      </c>
      <c r="CR12" s="28" t="str">
        <f>IF(ISNA(VLOOKUP(CM12,Aufenthalte!$A:$B,2,FALSE))=TRUE,"",VLOOKUP(CM12,Aufenthalte!$A:$B,2,FALSE))</f>
        <v>Mama</v>
      </c>
      <c r="CS12" s="25">
        <f t="shared" si="25"/>
        <v>10</v>
      </c>
      <c r="CT12" s="26">
        <f t="shared" si="26"/>
        <v>43353</v>
      </c>
      <c r="CU12" s="24" t="str">
        <f t="shared" si="27"/>
        <v/>
      </c>
      <c r="CV12" s="54" t="str">
        <f>IF(ISNA(VLOOKUP(CM12,Aufenthalte!$A:$G,7,FALSE))=TRUE,"",VLOOKUP(CM12,Aufenthalte!$A:$G,7,FALSE))</f>
        <v xml:space="preserve">
</v>
      </c>
      <c r="CW12" s="7">
        <f t="shared" si="64"/>
        <v>37</v>
      </c>
      <c r="CX12" s="27">
        <f>DATE(Konfiguration!$B$2,10,$B12)</f>
        <v>43383</v>
      </c>
      <c r="CY12" s="28">
        <f t="shared" si="65"/>
        <v>0</v>
      </c>
      <c r="CZ12" s="28">
        <f>IF(ISNA(VLOOKUP(CX12,Ferien!$A:$A,1,FALSE))=TRUE,0,1)</f>
        <v>1</v>
      </c>
      <c r="DA12" s="28">
        <f>IF(ISNA(VLOOKUP(CX12,Feiertage!$A:$A,1,FALSE))=TRUE,0,1)</f>
        <v>0</v>
      </c>
      <c r="DB12" s="28">
        <f>IF(ISNA(VLOOKUP(CX12,Termine!$A:$A,1,FALSE))=TRUE,0,1)</f>
        <v>0</v>
      </c>
      <c r="DC12" s="28" t="str">
        <f>IF(ISNA(VLOOKUP(CX12,Aufenthalte!$A:$B,2,FALSE))=TRUE,"",VLOOKUP(CX12,Aufenthalte!$A:$B,2,FALSE))</f>
        <v>Mama</v>
      </c>
      <c r="DD12" s="25">
        <f t="shared" si="29"/>
        <v>10</v>
      </c>
      <c r="DE12" s="26">
        <f t="shared" si="30"/>
        <v>43383</v>
      </c>
      <c r="DF12" s="24" t="str">
        <f t="shared" si="31"/>
        <v/>
      </c>
      <c r="DG12" s="54" t="str">
        <f>IF(ISNA(VLOOKUP(CX12,Aufenthalte!$A:$G,7,FALSE))=TRUE,"",VLOOKUP(CX12,Aufenthalte!$A:$G,7,FALSE))</f>
        <v xml:space="preserve">
</v>
      </c>
      <c r="DH12" s="7" t="str">
        <f t="shared" si="66"/>
        <v/>
      </c>
      <c r="DI12" s="27">
        <f>DATE(Konfiguration!$B$2,11,$B12)</f>
        <v>43414</v>
      </c>
      <c r="DJ12" s="28">
        <f t="shared" si="67"/>
        <v>1</v>
      </c>
      <c r="DK12" s="28">
        <f>IF(ISNA(VLOOKUP(DI12,Ferien!$A:$A,1,FALSE))=TRUE,0,1)</f>
        <v>0</v>
      </c>
      <c r="DL12" s="28">
        <f>IF(ISNA(VLOOKUP(DI12,Feiertage!$A:$A,1,FALSE))=TRUE,0,1)</f>
        <v>0</v>
      </c>
      <c r="DM12" s="28">
        <f>IF(ISNA(VLOOKUP(DI12,Termine!$A:$A,1,FALSE))=TRUE,0,1)</f>
        <v>0</v>
      </c>
      <c r="DN12" s="28" t="str">
        <f>IF(ISNA(VLOOKUP(DI12,Aufenthalte!$A:$B,2,FALSE))=TRUE,"",VLOOKUP(DI12,Aufenthalte!$A:$B,2,FALSE))</f>
        <v>Mama</v>
      </c>
      <c r="DO12" s="25">
        <f t="shared" si="33"/>
        <v>10</v>
      </c>
      <c r="DP12" s="26">
        <f t="shared" si="34"/>
        <v>43414</v>
      </c>
      <c r="DQ12" s="24" t="str">
        <f t="shared" si="35"/>
        <v/>
      </c>
      <c r="DR12" s="54" t="str">
        <f>IF(ISNA(VLOOKUP(DI12,Aufenthalte!$A:$G,7,FALSE))=TRUE,"",VLOOKUP(DI12,Aufenthalte!$A:$G,7,FALSE))</f>
        <v xml:space="preserve">
</v>
      </c>
      <c r="DS12" s="7" t="str">
        <f t="shared" si="68"/>
        <v/>
      </c>
      <c r="DT12" s="27">
        <f>DATE(Konfiguration!$B$2,12,$B12)</f>
        <v>43444</v>
      </c>
      <c r="DU12" s="28">
        <f t="shared" si="69"/>
        <v>0</v>
      </c>
      <c r="DV12" s="28">
        <f>IF(ISNA(VLOOKUP(DT12,Ferien!$A:$A,1,FALSE))=TRUE,0,1)</f>
        <v>0</v>
      </c>
      <c r="DW12" s="28">
        <f>IF(ISNA(VLOOKUP(DT12,Feiertage!$A:$A,1,FALSE))=TRUE,0,1)</f>
        <v>0</v>
      </c>
      <c r="DX12" s="28">
        <f>IF(ISNA(VLOOKUP(DT12,Termine!$A:$A,1,FALSE))=TRUE,0,1)</f>
        <v>0</v>
      </c>
      <c r="DY12" s="28" t="str">
        <f>IF(ISNA(VLOOKUP(DT12,Aufenthalte!$A:$B,2,FALSE))=TRUE,"",VLOOKUP(DT12,Aufenthalte!$A:$B,2,FALSE))</f>
        <v>Mama</v>
      </c>
      <c r="DZ12" s="25">
        <f t="shared" si="37"/>
        <v>10</v>
      </c>
      <c r="EA12" s="26">
        <f t="shared" si="38"/>
        <v>43444</v>
      </c>
      <c r="EB12" s="24" t="str">
        <f t="shared" si="39"/>
        <v/>
      </c>
      <c r="EC12" s="54" t="str">
        <f>IF(ISNA(VLOOKUP(DT12,Aufenthalte!$A:$G,7,FALSE))=TRUE,"",VLOOKUP(DT12,Aufenthalte!$A:$G,7,FALSE))</f>
        <v xml:space="preserve">
</v>
      </c>
      <c r="ED12" s="7">
        <f t="shared" si="70"/>
        <v>50</v>
      </c>
      <c r="EE12" s="27">
        <f>DATE(Konfiguration!$B$2+1,1,$B12)</f>
        <v>43475</v>
      </c>
      <c r="EF12" s="28">
        <f t="shared" si="71"/>
        <v>0</v>
      </c>
      <c r="EG12" s="28">
        <f>IF(ISNA(VLOOKUP(EE12,Ferien!$A:$A,1,FALSE))=TRUE,0,1)</f>
        <v>0</v>
      </c>
      <c r="EH12" s="28">
        <f>IF(ISNA(VLOOKUP(EE12,Feiertage!$A:$A,1,FALSE))=TRUE,0,1)</f>
        <v>0</v>
      </c>
      <c r="EI12" s="28">
        <f>IF(ISNA(VLOOKUP(EE12,Termine!$A:$A,1,FALSE))=TRUE,0,1)</f>
        <v>0</v>
      </c>
      <c r="EJ12" s="28" t="str">
        <f>IF(ISNA(VLOOKUP(EE12,Aufenthalte!$A:$B,2,FALSE))=TRUE,"",VLOOKUP(EE12,Aufenthalte!$A:$B,2,FALSE))</f>
        <v>Mama</v>
      </c>
      <c r="EK12" s="25">
        <f t="shared" si="41"/>
        <v>10</v>
      </c>
      <c r="EL12" s="26">
        <f t="shared" si="42"/>
        <v>43475</v>
      </c>
      <c r="EM12" s="24" t="str">
        <f t="shared" si="43"/>
        <v/>
      </c>
      <c r="EN12" s="54" t="str">
        <f>IF(ISNA(VLOOKUP(EE12,Aufenthalte!$A:$G,7,FALSE))=TRUE,"",VLOOKUP(EE12,Aufenthalte!$A:$G,7,FALSE))</f>
        <v xml:space="preserve">
</v>
      </c>
      <c r="EO12" s="7" t="str">
        <f t="shared" si="72"/>
        <v/>
      </c>
    </row>
    <row r="13" spans="2:145" s="1" customFormat="1" ht="21" customHeight="1">
      <c r="B13" s="8">
        <v>11</v>
      </c>
      <c r="C13" s="27">
        <f>DATE(Konfiguration!$B$2,1,$B13)</f>
        <v>43111</v>
      </c>
      <c r="D13" s="28">
        <f t="shared" si="45"/>
        <v>0</v>
      </c>
      <c r="E13" s="28">
        <f>IF(ISNA(VLOOKUP(C13,Ferien!$A:$A,1,FALSE))=TRUE,0,1)</f>
        <v>0</v>
      </c>
      <c r="F13" s="28">
        <f>IF(ISNA(VLOOKUP(C13,Feiertage!$A:$A,1,FALSE))=TRUE,0,1)</f>
        <v>0</v>
      </c>
      <c r="G13" s="28">
        <f>IF(ISNA(VLOOKUP(C13,Termine!$A:$A,1,FALSE))=TRUE,0,1)</f>
        <v>0</v>
      </c>
      <c r="H13" s="28" t="str">
        <f>IF(ISNA(VLOOKUP(C13,Aufenthalte!$A:$B,2,FALSE))=TRUE,"",VLOOKUP(C13,Aufenthalte!$A:$B,2,FALSE))</f>
        <v>Mama</v>
      </c>
      <c r="I13" s="25">
        <f t="shared" si="46"/>
        <v>11</v>
      </c>
      <c r="J13" s="26">
        <f t="shared" si="0"/>
        <v>43111</v>
      </c>
      <c r="K13" s="24" t="str">
        <f t="shared" si="47"/>
        <v/>
      </c>
      <c r="L13" s="54" t="str">
        <f>IF(ISNA(VLOOKUP(C13,Aufenthalte!$A:$G,7,FALSE))=TRUE,"",VLOOKUP(C13,Aufenthalte!$A:$G,7,FALSE))</f>
        <v xml:space="preserve">
</v>
      </c>
      <c r="M13" s="7" t="str">
        <f t="shared" si="77"/>
        <v/>
      </c>
      <c r="N13" s="27">
        <f>DATE(Konfiguration!$B$2,2,$B13)</f>
        <v>43142</v>
      </c>
      <c r="O13" s="28">
        <f t="shared" si="48"/>
        <v>1</v>
      </c>
      <c r="P13" s="28">
        <f>IF(ISNA(VLOOKUP(N13,Ferien!$A:$A,1,FALSE))=TRUE,0,1)</f>
        <v>0</v>
      </c>
      <c r="Q13" s="28">
        <f>IF(ISNA(VLOOKUP(N13,Feiertage!$A:$A,1,FALSE))=TRUE,0,1)</f>
        <v>0</v>
      </c>
      <c r="R13" s="28">
        <f>IF(ISNA(VLOOKUP(N13,Termine!$A:$A,1,FALSE))=TRUE,0,1)</f>
        <v>0</v>
      </c>
      <c r="S13" s="28" t="str">
        <f>IF(ISNA(VLOOKUP(N13,Aufenthalte!$A:$B,2,FALSE))=TRUE,"",VLOOKUP(N13,Aufenthalte!$A:$B,2,FALSE))</f>
        <v>Mama</v>
      </c>
      <c r="T13" s="25">
        <f t="shared" si="49"/>
        <v>11</v>
      </c>
      <c r="U13" s="26">
        <f t="shared" si="50"/>
        <v>43142</v>
      </c>
      <c r="V13" s="24" t="str">
        <f t="shared" si="2"/>
        <v/>
      </c>
      <c r="W13" s="54" t="str">
        <f>IF(ISNA(VLOOKUP(N13,Aufenthalte!$A:$G,7,FALSE))=TRUE,"",VLOOKUP(N13,Aufenthalte!$A:$G,7,FALSE))</f>
        <v xml:space="preserve">
</v>
      </c>
      <c r="X13" s="7" t="str">
        <f t="shared" si="51"/>
        <v/>
      </c>
      <c r="Y13" s="27">
        <f>DATE(Konfiguration!$B$2,3,$B13)</f>
        <v>43170</v>
      </c>
      <c r="Z13" s="28">
        <f t="shared" si="73"/>
        <v>1</v>
      </c>
      <c r="AA13" s="28">
        <f>IF(ISNA(VLOOKUP(Y13,Ferien!$A:$A,1,FALSE))=TRUE,0,1)</f>
        <v>0</v>
      </c>
      <c r="AB13" s="28">
        <f>IF(ISNA(VLOOKUP(Y13,Feiertage!$A:$A,1,FALSE))=TRUE,0,1)</f>
        <v>0</v>
      </c>
      <c r="AC13" s="28">
        <f>IF(ISNA(VLOOKUP(Y13,Termine!$A:$A,1,FALSE))=TRUE,0,1)</f>
        <v>0</v>
      </c>
      <c r="AD13" s="28" t="str">
        <f>IF(ISNA(VLOOKUP(Y13,Aufenthalte!$A:$B,2,FALSE))=TRUE,"",VLOOKUP(Y13,Aufenthalte!$A:$B,2,FALSE))</f>
        <v>Mama</v>
      </c>
      <c r="AE13" s="25">
        <f t="shared" si="74"/>
        <v>11</v>
      </c>
      <c r="AF13" s="26">
        <f t="shared" si="75"/>
        <v>43170</v>
      </c>
      <c r="AG13" s="24" t="str">
        <f t="shared" si="76"/>
        <v/>
      </c>
      <c r="AH13" s="54" t="str">
        <f>IF(ISNA(VLOOKUP(Y13,Aufenthalte!$A:$G,7,FALSE))=TRUE,"",VLOOKUP(Y13,Aufenthalte!$A:$G,7,FALSE))</f>
        <v xml:space="preserve">
</v>
      </c>
      <c r="AI13" s="7" t="str">
        <f t="shared" si="52"/>
        <v/>
      </c>
      <c r="AJ13" s="27">
        <f>DATE(Konfiguration!$B$2,4,$B13)</f>
        <v>43201</v>
      </c>
      <c r="AK13" s="28">
        <f t="shared" si="53"/>
        <v>0</v>
      </c>
      <c r="AL13" s="28">
        <f>IF(ISNA(VLOOKUP(AJ13,Ferien!$A:$A,1,FALSE))=TRUE,0,1)</f>
        <v>0</v>
      </c>
      <c r="AM13" s="28">
        <f>IF(ISNA(VLOOKUP(AJ13,Feiertage!$A:$A,1,FALSE))=TRUE,0,1)</f>
        <v>0</v>
      </c>
      <c r="AN13" s="28">
        <f>IF(ISNA(VLOOKUP(AJ13,Termine!$A:$A,1,FALSE))=TRUE,0,1)</f>
        <v>0</v>
      </c>
      <c r="AO13" s="28" t="str">
        <f>IF(ISNA(VLOOKUP(AJ13,Aufenthalte!$A:$B,2,FALSE))=TRUE,"",VLOOKUP(AJ13,Aufenthalte!$A:$B,2,FALSE))</f>
        <v>Mama</v>
      </c>
      <c r="AP13" s="25">
        <f t="shared" si="5"/>
        <v>11</v>
      </c>
      <c r="AQ13" s="26">
        <f t="shared" si="6"/>
        <v>43201</v>
      </c>
      <c r="AR13" s="24" t="str">
        <f t="shared" si="7"/>
        <v/>
      </c>
      <c r="AS13" s="54" t="str">
        <f>IF(ISNA(VLOOKUP(AJ13,Aufenthalte!$A:$G,7,FALSE))=TRUE,"",VLOOKUP(AJ13,Aufenthalte!$A:$G,7,FALSE))</f>
        <v xml:space="preserve">
</v>
      </c>
      <c r="AT13" s="7" t="str">
        <f t="shared" si="54"/>
        <v/>
      </c>
      <c r="AU13" s="27">
        <f>DATE(Konfiguration!$B$2,5,$B13)</f>
        <v>43231</v>
      </c>
      <c r="AV13" s="28">
        <f t="shared" si="55"/>
        <v>0</v>
      </c>
      <c r="AW13" s="28">
        <f>IF(ISNA(VLOOKUP(AU13,Ferien!$A:$A,1,FALSE))=TRUE,0,1)</f>
        <v>1</v>
      </c>
      <c r="AX13" s="28">
        <f>IF(ISNA(VLOOKUP(AU13,Feiertage!$A:$A,1,FALSE))=TRUE,0,1)</f>
        <v>0</v>
      </c>
      <c r="AY13" s="28">
        <f>IF(ISNA(VLOOKUP(AU13,Termine!$A:$A,1,FALSE))=TRUE,0,1)</f>
        <v>0</v>
      </c>
      <c r="AZ13" s="28" t="str">
        <f>IF(ISNA(VLOOKUP(AU13,Aufenthalte!$A:$B,2,FALSE))=TRUE,"",VLOOKUP(AU13,Aufenthalte!$A:$B,2,FALSE))</f>
        <v>Mama</v>
      </c>
      <c r="BA13" s="25">
        <f t="shared" si="9"/>
        <v>11</v>
      </c>
      <c r="BB13" s="26">
        <f t="shared" si="10"/>
        <v>43231</v>
      </c>
      <c r="BC13" s="24" t="str">
        <f t="shared" si="11"/>
        <v/>
      </c>
      <c r="BD13" s="54" t="str">
        <f>IF(ISNA(VLOOKUP(AU13,Aufenthalte!$A:$G,7,FALSE))=TRUE,"",VLOOKUP(AU13,Aufenthalte!$A:$G,7,FALSE))</f>
        <v xml:space="preserve">
</v>
      </c>
      <c r="BE13" s="7" t="str">
        <f t="shared" si="56"/>
        <v/>
      </c>
      <c r="BF13" s="27">
        <f>DATE(Konfiguration!$B$2,6,$B13)</f>
        <v>43262</v>
      </c>
      <c r="BG13" s="28">
        <f t="shared" si="57"/>
        <v>0</v>
      </c>
      <c r="BH13" s="28">
        <f>IF(ISNA(VLOOKUP(BF13,Ferien!$A:$A,1,FALSE))=TRUE,0,1)</f>
        <v>0</v>
      </c>
      <c r="BI13" s="28">
        <f>IF(ISNA(VLOOKUP(BF13,Feiertage!$A:$A,1,FALSE))=TRUE,0,1)</f>
        <v>0</v>
      </c>
      <c r="BJ13" s="28">
        <f>IF(ISNA(VLOOKUP(BF13,Termine!$A:$A,1,FALSE))=TRUE,0,1)</f>
        <v>0</v>
      </c>
      <c r="BK13" s="28" t="str">
        <f>IF(ISNA(VLOOKUP(BF13,Aufenthalte!$A:$B,2,FALSE))=TRUE,"",VLOOKUP(BF13,Aufenthalte!$A:$B,2,FALSE))</f>
        <v>Mama</v>
      </c>
      <c r="BL13" s="25">
        <f t="shared" si="13"/>
        <v>11</v>
      </c>
      <c r="BM13" s="26">
        <f t="shared" si="14"/>
        <v>43262</v>
      </c>
      <c r="BN13" s="24" t="str">
        <f t="shared" si="15"/>
        <v/>
      </c>
      <c r="BO13" s="54" t="str">
        <f>IF(ISNA(VLOOKUP(BF13,Aufenthalte!$A:$G,7,FALSE))=TRUE,"",VLOOKUP(BF13,Aufenthalte!$A:$G,7,FALSE))</f>
        <v xml:space="preserve">
</v>
      </c>
      <c r="BP13" s="7">
        <f t="shared" si="58"/>
        <v>24</v>
      </c>
      <c r="BQ13" s="27">
        <f>DATE(Konfiguration!$B$2,7,$B13)</f>
        <v>43292</v>
      </c>
      <c r="BR13" s="28">
        <f t="shared" si="59"/>
        <v>0</v>
      </c>
      <c r="BS13" s="28">
        <f>IF(ISNA(VLOOKUP(BQ13,Ferien!$A:$A,1,FALSE))=TRUE,0,1)</f>
        <v>1</v>
      </c>
      <c r="BT13" s="28">
        <f>IF(ISNA(VLOOKUP(BQ13,Feiertage!$A:$A,1,FALSE))=TRUE,0,1)</f>
        <v>0</v>
      </c>
      <c r="BU13" s="28">
        <f>IF(ISNA(VLOOKUP(BQ13,Termine!$A:$A,1,FALSE))=TRUE,0,1)</f>
        <v>0</v>
      </c>
      <c r="BV13" s="28" t="str">
        <f>IF(ISNA(VLOOKUP(BQ13,Aufenthalte!$A:$B,2,FALSE))=TRUE,"",VLOOKUP(BQ13,Aufenthalte!$A:$B,2,FALSE))</f>
        <v>Mama</v>
      </c>
      <c r="BW13" s="25">
        <f t="shared" si="17"/>
        <v>11</v>
      </c>
      <c r="BX13" s="26">
        <f t="shared" si="18"/>
        <v>43292</v>
      </c>
      <c r="BY13" s="24" t="str">
        <f t="shared" si="19"/>
        <v/>
      </c>
      <c r="BZ13" s="54" t="str">
        <f>IF(ISNA(VLOOKUP(BQ13,Aufenthalte!$A:$G,7,FALSE))=TRUE,"",VLOOKUP(BQ13,Aufenthalte!$A:$G,7,FALSE))</f>
        <v xml:space="preserve">
</v>
      </c>
      <c r="CA13" s="7" t="str">
        <f t="shared" si="60"/>
        <v/>
      </c>
      <c r="CB13" s="27">
        <f>DATE(Konfiguration!$B$2,8,$B13)</f>
        <v>43323</v>
      </c>
      <c r="CC13" s="28">
        <f t="shared" si="61"/>
        <v>1</v>
      </c>
      <c r="CD13" s="28">
        <f>IF(ISNA(VLOOKUP(CB13,Ferien!$A:$A,1,FALSE))=TRUE,0,1)</f>
        <v>0</v>
      </c>
      <c r="CE13" s="28">
        <f>IF(ISNA(VLOOKUP(CB13,Feiertage!$A:$A,1,FALSE))=TRUE,0,1)</f>
        <v>0</v>
      </c>
      <c r="CF13" s="28">
        <f>IF(ISNA(VLOOKUP(CB13,Termine!$A:$A,1,FALSE))=TRUE,0,1)</f>
        <v>0</v>
      </c>
      <c r="CG13" s="28" t="str">
        <f>IF(ISNA(VLOOKUP(CB13,Aufenthalte!$A:$B,2,FALSE))=TRUE,"",VLOOKUP(CB13,Aufenthalte!$A:$B,2,FALSE))</f>
        <v>Mama</v>
      </c>
      <c r="CH13" s="25">
        <f t="shared" si="21"/>
        <v>11</v>
      </c>
      <c r="CI13" s="26">
        <f t="shared" si="22"/>
        <v>43323</v>
      </c>
      <c r="CJ13" s="24" t="str">
        <f t="shared" si="23"/>
        <v/>
      </c>
      <c r="CK13" s="54" t="str">
        <f>IF(ISNA(VLOOKUP(CB13,Aufenthalte!$A:$G,7,FALSE))=TRUE,"",VLOOKUP(CB13,Aufenthalte!$A:$G,7,FALSE))</f>
        <v xml:space="preserve">
</v>
      </c>
      <c r="CL13" s="7" t="str">
        <f t="shared" si="62"/>
        <v/>
      </c>
      <c r="CM13" s="27">
        <f>DATE(Konfiguration!$B$2,9,$B13)</f>
        <v>43354</v>
      </c>
      <c r="CN13" s="28">
        <f t="shared" si="63"/>
        <v>0</v>
      </c>
      <c r="CO13" s="28">
        <f>IF(ISNA(VLOOKUP(CM13,Ferien!$A:$A,1,FALSE))=TRUE,0,1)</f>
        <v>0</v>
      </c>
      <c r="CP13" s="28">
        <f>IF(ISNA(VLOOKUP(CM13,Feiertage!$A:$A,1,FALSE))=TRUE,0,1)</f>
        <v>0</v>
      </c>
      <c r="CQ13" s="28">
        <f>IF(ISNA(VLOOKUP(CM13,Termine!$A:$A,1,FALSE))=TRUE,0,1)</f>
        <v>0</v>
      </c>
      <c r="CR13" s="28" t="str">
        <f>IF(ISNA(VLOOKUP(CM13,Aufenthalte!$A:$B,2,FALSE))=TRUE,"",VLOOKUP(CM13,Aufenthalte!$A:$B,2,FALSE))</f>
        <v>Mama</v>
      </c>
      <c r="CS13" s="25">
        <f t="shared" si="25"/>
        <v>11</v>
      </c>
      <c r="CT13" s="26">
        <f t="shared" si="26"/>
        <v>43354</v>
      </c>
      <c r="CU13" s="24" t="str">
        <f t="shared" si="27"/>
        <v/>
      </c>
      <c r="CV13" s="54" t="str">
        <f>IF(ISNA(VLOOKUP(CM13,Aufenthalte!$A:$G,7,FALSE))=TRUE,"",VLOOKUP(CM13,Aufenthalte!$A:$G,7,FALSE))</f>
        <v xml:space="preserve">
</v>
      </c>
      <c r="CW13" s="7" t="str">
        <f t="shared" si="64"/>
        <v/>
      </c>
      <c r="CX13" s="27">
        <f>DATE(Konfiguration!$B$2,10,$B13)</f>
        <v>43384</v>
      </c>
      <c r="CY13" s="28">
        <f t="shared" si="65"/>
        <v>0</v>
      </c>
      <c r="CZ13" s="28">
        <f>IF(ISNA(VLOOKUP(CX13,Ferien!$A:$A,1,FALSE))=TRUE,0,1)</f>
        <v>1</v>
      </c>
      <c r="DA13" s="28">
        <f>IF(ISNA(VLOOKUP(CX13,Feiertage!$A:$A,1,FALSE))=TRUE,0,1)</f>
        <v>0</v>
      </c>
      <c r="DB13" s="28">
        <f>IF(ISNA(VLOOKUP(CX13,Termine!$A:$A,1,FALSE))=TRUE,0,1)</f>
        <v>0</v>
      </c>
      <c r="DC13" s="28" t="str">
        <f>IF(ISNA(VLOOKUP(CX13,Aufenthalte!$A:$B,2,FALSE))=TRUE,"",VLOOKUP(CX13,Aufenthalte!$A:$B,2,FALSE))</f>
        <v>Mama</v>
      </c>
      <c r="DD13" s="25">
        <f t="shared" si="29"/>
        <v>11</v>
      </c>
      <c r="DE13" s="26">
        <f t="shared" si="30"/>
        <v>43384</v>
      </c>
      <c r="DF13" s="24" t="str">
        <f t="shared" si="31"/>
        <v/>
      </c>
      <c r="DG13" s="54" t="str">
        <f>IF(ISNA(VLOOKUP(CX13,Aufenthalte!$A:$G,7,FALSE))=TRUE,"",VLOOKUP(CX13,Aufenthalte!$A:$G,7,FALSE))</f>
        <v xml:space="preserve">
</v>
      </c>
      <c r="DH13" s="7" t="str">
        <f t="shared" si="66"/>
        <v/>
      </c>
      <c r="DI13" s="27">
        <f>DATE(Konfiguration!$B$2,11,$B13)</f>
        <v>43415</v>
      </c>
      <c r="DJ13" s="28">
        <f t="shared" si="67"/>
        <v>1</v>
      </c>
      <c r="DK13" s="28">
        <f>IF(ISNA(VLOOKUP(DI13,Ferien!$A:$A,1,FALSE))=TRUE,0,1)</f>
        <v>0</v>
      </c>
      <c r="DL13" s="28">
        <f>IF(ISNA(VLOOKUP(DI13,Feiertage!$A:$A,1,FALSE))=TRUE,0,1)</f>
        <v>0</v>
      </c>
      <c r="DM13" s="28">
        <f>IF(ISNA(VLOOKUP(DI13,Termine!$A:$A,1,FALSE))=TRUE,0,1)</f>
        <v>0</v>
      </c>
      <c r="DN13" s="28" t="str">
        <f>IF(ISNA(VLOOKUP(DI13,Aufenthalte!$A:$B,2,FALSE))=TRUE,"",VLOOKUP(DI13,Aufenthalte!$A:$B,2,FALSE))</f>
        <v>Mama</v>
      </c>
      <c r="DO13" s="25">
        <f t="shared" si="33"/>
        <v>11</v>
      </c>
      <c r="DP13" s="26">
        <f t="shared" si="34"/>
        <v>43415</v>
      </c>
      <c r="DQ13" s="24" t="str">
        <f t="shared" si="35"/>
        <v/>
      </c>
      <c r="DR13" s="54" t="str">
        <f>IF(ISNA(VLOOKUP(DI13,Aufenthalte!$A:$G,7,FALSE))=TRUE,"",VLOOKUP(DI13,Aufenthalte!$A:$G,7,FALSE))</f>
        <v xml:space="preserve">
</v>
      </c>
      <c r="DS13" s="7" t="str">
        <f t="shared" si="68"/>
        <v/>
      </c>
      <c r="DT13" s="27">
        <f>DATE(Konfiguration!$B$2,12,$B13)</f>
        <v>43445</v>
      </c>
      <c r="DU13" s="28">
        <f t="shared" si="69"/>
        <v>0</v>
      </c>
      <c r="DV13" s="28">
        <f>IF(ISNA(VLOOKUP(DT13,Ferien!$A:$A,1,FALSE))=TRUE,0,1)</f>
        <v>0</v>
      </c>
      <c r="DW13" s="28">
        <f>IF(ISNA(VLOOKUP(DT13,Feiertage!$A:$A,1,FALSE))=TRUE,0,1)</f>
        <v>0</v>
      </c>
      <c r="DX13" s="28">
        <f>IF(ISNA(VLOOKUP(DT13,Termine!$A:$A,1,FALSE))=TRUE,0,1)</f>
        <v>0</v>
      </c>
      <c r="DY13" s="28" t="str">
        <f>IF(ISNA(VLOOKUP(DT13,Aufenthalte!$A:$B,2,FALSE))=TRUE,"",VLOOKUP(DT13,Aufenthalte!$A:$B,2,FALSE))</f>
        <v>Mama</v>
      </c>
      <c r="DZ13" s="25">
        <f t="shared" si="37"/>
        <v>11</v>
      </c>
      <c r="EA13" s="26">
        <f t="shared" si="38"/>
        <v>43445</v>
      </c>
      <c r="EB13" s="24" t="str">
        <f t="shared" si="39"/>
        <v/>
      </c>
      <c r="EC13" s="54" t="str">
        <f>IF(ISNA(VLOOKUP(DT13,Aufenthalte!$A:$G,7,FALSE))=TRUE,"",VLOOKUP(DT13,Aufenthalte!$A:$G,7,FALSE))</f>
        <v xml:space="preserve">
</v>
      </c>
      <c r="ED13" s="7" t="str">
        <f t="shared" si="70"/>
        <v/>
      </c>
      <c r="EE13" s="27">
        <f>DATE(Konfiguration!$B$2+1,1,$B13)</f>
        <v>43476</v>
      </c>
      <c r="EF13" s="28">
        <f t="shared" si="71"/>
        <v>0</v>
      </c>
      <c r="EG13" s="28">
        <f>IF(ISNA(VLOOKUP(EE13,Ferien!$A:$A,1,FALSE))=TRUE,0,1)</f>
        <v>0</v>
      </c>
      <c r="EH13" s="28">
        <f>IF(ISNA(VLOOKUP(EE13,Feiertage!$A:$A,1,FALSE))=TRUE,0,1)</f>
        <v>0</v>
      </c>
      <c r="EI13" s="28">
        <f>IF(ISNA(VLOOKUP(EE13,Termine!$A:$A,1,FALSE))=TRUE,0,1)</f>
        <v>0</v>
      </c>
      <c r="EJ13" s="28" t="str">
        <f>IF(ISNA(VLOOKUP(EE13,Aufenthalte!$A:$B,2,FALSE))=TRUE,"",VLOOKUP(EE13,Aufenthalte!$A:$B,2,FALSE))</f>
        <v>Mama</v>
      </c>
      <c r="EK13" s="25">
        <f t="shared" si="41"/>
        <v>11</v>
      </c>
      <c r="EL13" s="26">
        <f t="shared" si="42"/>
        <v>43476</v>
      </c>
      <c r="EM13" s="24" t="str">
        <f t="shared" si="43"/>
        <v/>
      </c>
      <c r="EN13" s="54" t="str">
        <f>IF(ISNA(VLOOKUP(EE13,Aufenthalte!$A:$G,7,FALSE))=TRUE,"",VLOOKUP(EE13,Aufenthalte!$A:$G,7,FALSE))</f>
        <v xml:space="preserve">
</v>
      </c>
      <c r="EO13" s="7" t="str">
        <f t="shared" si="72"/>
        <v/>
      </c>
    </row>
    <row r="14" spans="2:145" s="1" customFormat="1" ht="21" customHeight="1">
      <c r="B14" s="8">
        <v>12</v>
      </c>
      <c r="C14" s="27">
        <f>DATE(Konfiguration!$B$2,1,$B14)</f>
        <v>43112</v>
      </c>
      <c r="D14" s="28">
        <f t="shared" si="45"/>
        <v>0</v>
      </c>
      <c r="E14" s="28">
        <f>IF(ISNA(VLOOKUP(C14,Ferien!$A:$A,1,FALSE))=TRUE,0,1)</f>
        <v>0</v>
      </c>
      <c r="F14" s="28">
        <f>IF(ISNA(VLOOKUP(C14,Feiertage!$A:$A,1,FALSE))=TRUE,0,1)</f>
        <v>0</v>
      </c>
      <c r="G14" s="28">
        <f>IF(ISNA(VLOOKUP(C14,Termine!$A:$A,1,FALSE))=TRUE,0,1)</f>
        <v>0</v>
      </c>
      <c r="H14" s="28" t="str">
        <f>IF(ISNA(VLOOKUP(C14,Aufenthalte!$A:$B,2,FALSE))=TRUE,"",VLOOKUP(C14,Aufenthalte!$A:$B,2,FALSE))</f>
        <v>Papa</v>
      </c>
      <c r="I14" s="25">
        <f t="shared" si="46"/>
        <v>12</v>
      </c>
      <c r="J14" s="26">
        <f t="shared" si="0"/>
        <v>43112</v>
      </c>
      <c r="K14" s="24" t="str">
        <f t="shared" si="47"/>
        <v/>
      </c>
      <c r="L14" s="54" t="str">
        <f>IF(ISNA(VLOOKUP(C14,Aufenthalte!$A:$G,7,FALSE))=TRUE,"",VLOOKUP(C14,Aufenthalte!$A:$G,7,FALSE))</f>
        <v xml:space="preserve">17:00
</v>
      </c>
      <c r="M14" s="7" t="str">
        <f t="shared" si="77"/>
        <v/>
      </c>
      <c r="N14" s="27">
        <f>DATE(Konfiguration!$B$2,2,$B14)</f>
        <v>43143</v>
      </c>
      <c r="O14" s="28">
        <f t="shared" si="48"/>
        <v>0</v>
      </c>
      <c r="P14" s="28">
        <f>IF(ISNA(VLOOKUP(N14,Ferien!$A:$A,1,FALSE))=TRUE,0,1)</f>
        <v>1</v>
      </c>
      <c r="Q14" s="28">
        <f>IF(ISNA(VLOOKUP(N14,Feiertage!$A:$A,1,FALSE))=TRUE,0,1)</f>
        <v>0</v>
      </c>
      <c r="R14" s="28">
        <f>IF(ISNA(VLOOKUP(N14,Termine!$A:$A,1,FALSE))=TRUE,0,1)</f>
        <v>0</v>
      </c>
      <c r="S14" s="28" t="str">
        <f>IF(ISNA(VLOOKUP(N14,Aufenthalte!$A:$B,2,FALSE))=TRUE,"",VLOOKUP(N14,Aufenthalte!$A:$B,2,FALSE))</f>
        <v>Mama</v>
      </c>
      <c r="T14" s="25">
        <f t="shared" si="49"/>
        <v>12</v>
      </c>
      <c r="U14" s="26">
        <f t="shared" si="50"/>
        <v>43143</v>
      </c>
      <c r="V14" s="24" t="str">
        <f t="shared" si="2"/>
        <v/>
      </c>
      <c r="W14" s="54" t="str">
        <f>IF(ISNA(VLOOKUP(N14,Aufenthalte!$A:$G,7,FALSE))=TRUE,"",VLOOKUP(N14,Aufenthalte!$A:$G,7,FALSE))</f>
        <v xml:space="preserve">
</v>
      </c>
      <c r="X14" s="7">
        <f t="shared" si="51"/>
        <v>7</v>
      </c>
      <c r="Y14" s="27">
        <f>DATE(Konfiguration!$B$2,3,$B14)</f>
        <v>43171</v>
      </c>
      <c r="Z14" s="28">
        <f t="shared" si="73"/>
        <v>0</v>
      </c>
      <c r="AA14" s="28">
        <f>IF(ISNA(VLOOKUP(Y14,Ferien!$A:$A,1,FALSE))=TRUE,0,1)</f>
        <v>0</v>
      </c>
      <c r="AB14" s="28">
        <f>IF(ISNA(VLOOKUP(Y14,Feiertage!$A:$A,1,FALSE))=TRUE,0,1)</f>
        <v>0</v>
      </c>
      <c r="AC14" s="28">
        <f>IF(ISNA(VLOOKUP(Y14,Termine!$A:$A,1,FALSE))=TRUE,0,1)</f>
        <v>0</v>
      </c>
      <c r="AD14" s="28" t="str">
        <f>IF(ISNA(VLOOKUP(Y14,Aufenthalte!$A:$B,2,FALSE))=TRUE,"",VLOOKUP(Y14,Aufenthalte!$A:$B,2,FALSE))</f>
        <v>Mama</v>
      </c>
      <c r="AE14" s="25">
        <f t="shared" si="74"/>
        <v>12</v>
      </c>
      <c r="AF14" s="26">
        <f t="shared" si="75"/>
        <v>43171</v>
      </c>
      <c r="AG14" s="24" t="str">
        <f t="shared" si="76"/>
        <v/>
      </c>
      <c r="AH14" s="54" t="str">
        <f>IF(ISNA(VLOOKUP(Y14,Aufenthalte!$A:$G,7,FALSE))=TRUE,"",VLOOKUP(Y14,Aufenthalte!$A:$G,7,FALSE))</f>
        <v xml:space="preserve">
</v>
      </c>
      <c r="AI14" s="7">
        <f t="shared" si="52"/>
        <v>11</v>
      </c>
      <c r="AJ14" s="27">
        <f>DATE(Konfiguration!$B$2,4,$B14)</f>
        <v>43202</v>
      </c>
      <c r="AK14" s="28">
        <f t="shared" si="53"/>
        <v>0</v>
      </c>
      <c r="AL14" s="28">
        <f>IF(ISNA(VLOOKUP(AJ14,Ferien!$A:$A,1,FALSE))=TRUE,0,1)</f>
        <v>0</v>
      </c>
      <c r="AM14" s="28">
        <f>IF(ISNA(VLOOKUP(AJ14,Feiertage!$A:$A,1,FALSE))=TRUE,0,1)</f>
        <v>0</v>
      </c>
      <c r="AN14" s="28">
        <f>IF(ISNA(VLOOKUP(AJ14,Termine!$A:$A,1,FALSE))=TRUE,0,1)</f>
        <v>0</v>
      </c>
      <c r="AO14" s="28" t="str">
        <f>IF(ISNA(VLOOKUP(AJ14,Aufenthalte!$A:$B,2,FALSE))=TRUE,"",VLOOKUP(AJ14,Aufenthalte!$A:$B,2,FALSE))</f>
        <v>Mama</v>
      </c>
      <c r="AP14" s="25">
        <f t="shared" si="5"/>
        <v>12</v>
      </c>
      <c r="AQ14" s="26">
        <f t="shared" si="6"/>
        <v>43202</v>
      </c>
      <c r="AR14" s="24" t="str">
        <f t="shared" si="7"/>
        <v/>
      </c>
      <c r="AS14" s="54" t="str">
        <f>IF(ISNA(VLOOKUP(AJ14,Aufenthalte!$A:$G,7,FALSE))=TRUE,"",VLOOKUP(AJ14,Aufenthalte!$A:$G,7,FALSE))</f>
        <v xml:space="preserve">
</v>
      </c>
      <c r="AT14" s="7" t="str">
        <f t="shared" si="54"/>
        <v/>
      </c>
      <c r="AU14" s="27">
        <f>DATE(Konfiguration!$B$2,5,$B14)</f>
        <v>43232</v>
      </c>
      <c r="AV14" s="28">
        <f t="shared" si="55"/>
        <v>1</v>
      </c>
      <c r="AW14" s="28">
        <f>IF(ISNA(VLOOKUP(AU14,Ferien!$A:$A,1,FALSE))=TRUE,0,1)</f>
        <v>0</v>
      </c>
      <c r="AX14" s="28">
        <f>IF(ISNA(VLOOKUP(AU14,Feiertage!$A:$A,1,FALSE))=TRUE,0,1)</f>
        <v>0</v>
      </c>
      <c r="AY14" s="28">
        <f>IF(ISNA(VLOOKUP(AU14,Termine!$A:$A,1,FALSE))=TRUE,0,1)</f>
        <v>0</v>
      </c>
      <c r="AZ14" s="28" t="str">
        <f>IF(ISNA(VLOOKUP(AU14,Aufenthalte!$A:$B,2,FALSE))=TRUE,"",VLOOKUP(AU14,Aufenthalte!$A:$B,2,FALSE))</f>
        <v>Mama</v>
      </c>
      <c r="BA14" s="25">
        <f t="shared" si="9"/>
        <v>12</v>
      </c>
      <c r="BB14" s="26">
        <f t="shared" si="10"/>
        <v>43232</v>
      </c>
      <c r="BC14" s="24" t="str">
        <f t="shared" si="11"/>
        <v/>
      </c>
      <c r="BD14" s="54" t="str">
        <f>IF(ISNA(VLOOKUP(AU14,Aufenthalte!$A:$G,7,FALSE))=TRUE,"",VLOOKUP(AU14,Aufenthalte!$A:$G,7,FALSE))</f>
        <v xml:space="preserve">
</v>
      </c>
      <c r="BE14" s="7" t="str">
        <f t="shared" si="56"/>
        <v/>
      </c>
      <c r="BF14" s="27">
        <f>DATE(Konfiguration!$B$2,6,$B14)</f>
        <v>43263</v>
      </c>
      <c r="BG14" s="28">
        <f t="shared" si="57"/>
        <v>0</v>
      </c>
      <c r="BH14" s="28">
        <f>IF(ISNA(VLOOKUP(BF14,Ferien!$A:$A,1,FALSE))=TRUE,0,1)</f>
        <v>0</v>
      </c>
      <c r="BI14" s="28">
        <f>IF(ISNA(VLOOKUP(BF14,Feiertage!$A:$A,1,FALSE))=TRUE,0,1)</f>
        <v>0</v>
      </c>
      <c r="BJ14" s="28">
        <f>IF(ISNA(VLOOKUP(BF14,Termine!$A:$A,1,FALSE))=TRUE,0,1)</f>
        <v>0</v>
      </c>
      <c r="BK14" s="28" t="str">
        <f>IF(ISNA(VLOOKUP(BF14,Aufenthalte!$A:$B,2,FALSE))=TRUE,"",VLOOKUP(BF14,Aufenthalte!$A:$B,2,FALSE))</f>
        <v>Mama</v>
      </c>
      <c r="BL14" s="25">
        <f t="shared" si="13"/>
        <v>12</v>
      </c>
      <c r="BM14" s="26">
        <f t="shared" si="14"/>
        <v>43263</v>
      </c>
      <c r="BN14" s="24" t="str">
        <f t="shared" si="15"/>
        <v/>
      </c>
      <c r="BO14" s="54" t="str">
        <f>IF(ISNA(VLOOKUP(BF14,Aufenthalte!$A:$G,7,FALSE))=TRUE,"",VLOOKUP(BF14,Aufenthalte!$A:$G,7,FALSE))</f>
        <v xml:space="preserve">
</v>
      </c>
      <c r="BP14" s="7" t="str">
        <f t="shared" si="58"/>
        <v/>
      </c>
      <c r="BQ14" s="27">
        <f>DATE(Konfiguration!$B$2,7,$B14)</f>
        <v>43293</v>
      </c>
      <c r="BR14" s="28">
        <f t="shared" si="59"/>
        <v>0</v>
      </c>
      <c r="BS14" s="28">
        <f>IF(ISNA(VLOOKUP(BQ14,Ferien!$A:$A,1,FALSE))=TRUE,0,1)</f>
        <v>1</v>
      </c>
      <c r="BT14" s="28">
        <f>IF(ISNA(VLOOKUP(BQ14,Feiertage!$A:$A,1,FALSE))=TRUE,0,1)</f>
        <v>0</v>
      </c>
      <c r="BU14" s="28">
        <f>IF(ISNA(VLOOKUP(BQ14,Termine!$A:$A,1,FALSE))=TRUE,0,1)</f>
        <v>0</v>
      </c>
      <c r="BV14" s="28" t="str">
        <f>IF(ISNA(VLOOKUP(BQ14,Aufenthalte!$A:$B,2,FALSE))=TRUE,"",VLOOKUP(BQ14,Aufenthalte!$A:$B,2,FALSE))</f>
        <v>Mama</v>
      </c>
      <c r="BW14" s="25">
        <f t="shared" si="17"/>
        <v>12</v>
      </c>
      <c r="BX14" s="26">
        <f t="shared" si="18"/>
        <v>43293</v>
      </c>
      <c r="BY14" s="24" t="str">
        <f t="shared" si="19"/>
        <v/>
      </c>
      <c r="BZ14" s="54" t="str">
        <f>IF(ISNA(VLOOKUP(BQ14,Aufenthalte!$A:$G,7,FALSE))=TRUE,"",VLOOKUP(BQ14,Aufenthalte!$A:$G,7,FALSE))</f>
        <v xml:space="preserve">
</v>
      </c>
      <c r="CA14" s="7" t="str">
        <f t="shared" si="60"/>
        <v/>
      </c>
      <c r="CB14" s="27">
        <f>DATE(Konfiguration!$B$2,8,$B14)</f>
        <v>43324</v>
      </c>
      <c r="CC14" s="28">
        <f t="shared" si="61"/>
        <v>1</v>
      </c>
      <c r="CD14" s="28">
        <f>IF(ISNA(VLOOKUP(CB14,Ferien!$A:$A,1,FALSE))=TRUE,0,1)</f>
        <v>0</v>
      </c>
      <c r="CE14" s="28">
        <f>IF(ISNA(VLOOKUP(CB14,Feiertage!$A:$A,1,FALSE))=TRUE,0,1)</f>
        <v>0</v>
      </c>
      <c r="CF14" s="28">
        <f>IF(ISNA(VLOOKUP(CB14,Termine!$A:$A,1,FALSE))=TRUE,0,1)</f>
        <v>0</v>
      </c>
      <c r="CG14" s="28" t="str">
        <f>IF(ISNA(VLOOKUP(CB14,Aufenthalte!$A:$B,2,FALSE))=TRUE,"",VLOOKUP(CB14,Aufenthalte!$A:$B,2,FALSE))</f>
        <v>Mama</v>
      </c>
      <c r="CH14" s="25">
        <f t="shared" si="21"/>
        <v>12</v>
      </c>
      <c r="CI14" s="26">
        <f t="shared" si="22"/>
        <v>43324</v>
      </c>
      <c r="CJ14" s="24" t="str">
        <f t="shared" si="23"/>
        <v/>
      </c>
      <c r="CK14" s="54" t="str">
        <f>IF(ISNA(VLOOKUP(CB14,Aufenthalte!$A:$G,7,FALSE))=TRUE,"",VLOOKUP(CB14,Aufenthalte!$A:$G,7,FALSE))</f>
        <v xml:space="preserve">
</v>
      </c>
      <c r="CL14" s="7" t="str">
        <f t="shared" si="62"/>
        <v/>
      </c>
      <c r="CM14" s="27">
        <f>DATE(Konfiguration!$B$2,9,$B14)</f>
        <v>43355</v>
      </c>
      <c r="CN14" s="28">
        <f t="shared" si="63"/>
        <v>0</v>
      </c>
      <c r="CO14" s="28">
        <f>IF(ISNA(VLOOKUP(CM14,Ferien!$A:$A,1,FALSE))=TRUE,0,1)</f>
        <v>0</v>
      </c>
      <c r="CP14" s="28">
        <f>IF(ISNA(VLOOKUP(CM14,Feiertage!$A:$A,1,FALSE))=TRUE,0,1)</f>
        <v>0</v>
      </c>
      <c r="CQ14" s="28">
        <f>IF(ISNA(VLOOKUP(CM14,Termine!$A:$A,1,FALSE))=TRUE,0,1)</f>
        <v>0</v>
      </c>
      <c r="CR14" s="28" t="str">
        <f>IF(ISNA(VLOOKUP(CM14,Aufenthalte!$A:$B,2,FALSE))=TRUE,"",VLOOKUP(CM14,Aufenthalte!$A:$B,2,FALSE))</f>
        <v>Mama</v>
      </c>
      <c r="CS14" s="25">
        <f t="shared" si="25"/>
        <v>12</v>
      </c>
      <c r="CT14" s="26">
        <f t="shared" si="26"/>
        <v>43355</v>
      </c>
      <c r="CU14" s="24" t="str">
        <f t="shared" si="27"/>
        <v/>
      </c>
      <c r="CV14" s="54" t="str">
        <f>IF(ISNA(VLOOKUP(CM14,Aufenthalte!$A:$G,7,FALSE))=TRUE,"",VLOOKUP(CM14,Aufenthalte!$A:$G,7,FALSE))</f>
        <v xml:space="preserve">
</v>
      </c>
      <c r="CW14" s="7" t="str">
        <f t="shared" si="64"/>
        <v/>
      </c>
      <c r="CX14" s="27">
        <f>DATE(Konfiguration!$B$2,10,$B14)</f>
        <v>43385</v>
      </c>
      <c r="CY14" s="28">
        <f t="shared" si="65"/>
        <v>0</v>
      </c>
      <c r="CZ14" s="28">
        <f>IF(ISNA(VLOOKUP(CX14,Ferien!$A:$A,1,FALSE))=TRUE,0,1)</f>
        <v>1</v>
      </c>
      <c r="DA14" s="28">
        <f>IF(ISNA(VLOOKUP(CX14,Feiertage!$A:$A,1,FALSE))=TRUE,0,1)</f>
        <v>0</v>
      </c>
      <c r="DB14" s="28">
        <f>IF(ISNA(VLOOKUP(CX14,Termine!$A:$A,1,FALSE))=TRUE,0,1)</f>
        <v>0</v>
      </c>
      <c r="DC14" s="28" t="str">
        <f>IF(ISNA(VLOOKUP(CX14,Aufenthalte!$A:$B,2,FALSE))=TRUE,"",VLOOKUP(CX14,Aufenthalte!$A:$B,2,FALSE))</f>
        <v>Mama</v>
      </c>
      <c r="DD14" s="25">
        <f t="shared" si="29"/>
        <v>12</v>
      </c>
      <c r="DE14" s="26">
        <f t="shared" si="30"/>
        <v>43385</v>
      </c>
      <c r="DF14" s="24" t="str">
        <f t="shared" si="31"/>
        <v/>
      </c>
      <c r="DG14" s="54" t="str">
        <f>IF(ISNA(VLOOKUP(CX14,Aufenthalte!$A:$G,7,FALSE))=TRUE,"",VLOOKUP(CX14,Aufenthalte!$A:$G,7,FALSE))</f>
        <v xml:space="preserve">
</v>
      </c>
      <c r="DH14" s="7" t="str">
        <f t="shared" si="66"/>
        <v/>
      </c>
      <c r="DI14" s="27">
        <f>DATE(Konfiguration!$B$2,11,$B14)</f>
        <v>43416</v>
      </c>
      <c r="DJ14" s="28">
        <f t="shared" si="67"/>
        <v>0</v>
      </c>
      <c r="DK14" s="28">
        <f>IF(ISNA(VLOOKUP(DI14,Ferien!$A:$A,1,FALSE))=TRUE,0,1)</f>
        <v>0</v>
      </c>
      <c r="DL14" s="28">
        <f>IF(ISNA(VLOOKUP(DI14,Feiertage!$A:$A,1,FALSE))=TRUE,0,1)</f>
        <v>0</v>
      </c>
      <c r="DM14" s="28">
        <f>IF(ISNA(VLOOKUP(DI14,Termine!$A:$A,1,FALSE))=TRUE,0,1)</f>
        <v>0</v>
      </c>
      <c r="DN14" s="28" t="str">
        <f>IF(ISNA(VLOOKUP(DI14,Aufenthalte!$A:$B,2,FALSE))=TRUE,"",VLOOKUP(DI14,Aufenthalte!$A:$B,2,FALSE))</f>
        <v>Mama</v>
      </c>
      <c r="DO14" s="25">
        <f t="shared" si="33"/>
        <v>12</v>
      </c>
      <c r="DP14" s="26">
        <f t="shared" si="34"/>
        <v>43416</v>
      </c>
      <c r="DQ14" s="24" t="str">
        <f t="shared" si="35"/>
        <v/>
      </c>
      <c r="DR14" s="54" t="str">
        <f>IF(ISNA(VLOOKUP(DI14,Aufenthalte!$A:$G,7,FALSE))=TRUE,"",VLOOKUP(DI14,Aufenthalte!$A:$G,7,FALSE))</f>
        <v xml:space="preserve">
</v>
      </c>
      <c r="DS14" s="7">
        <f t="shared" si="68"/>
        <v>46</v>
      </c>
      <c r="DT14" s="27">
        <f>DATE(Konfiguration!$B$2,12,$B14)</f>
        <v>43446</v>
      </c>
      <c r="DU14" s="28">
        <f t="shared" si="69"/>
        <v>0</v>
      </c>
      <c r="DV14" s="28">
        <f>IF(ISNA(VLOOKUP(DT14,Ferien!$A:$A,1,FALSE))=TRUE,0,1)</f>
        <v>0</v>
      </c>
      <c r="DW14" s="28">
        <f>IF(ISNA(VLOOKUP(DT14,Feiertage!$A:$A,1,FALSE))=TRUE,0,1)</f>
        <v>0</v>
      </c>
      <c r="DX14" s="28">
        <f>IF(ISNA(VLOOKUP(DT14,Termine!$A:$A,1,FALSE))=TRUE,0,1)</f>
        <v>0</v>
      </c>
      <c r="DY14" s="28" t="str">
        <f>IF(ISNA(VLOOKUP(DT14,Aufenthalte!$A:$B,2,FALSE))=TRUE,"",VLOOKUP(DT14,Aufenthalte!$A:$B,2,FALSE))</f>
        <v>Mama</v>
      </c>
      <c r="DZ14" s="25">
        <f t="shared" si="37"/>
        <v>12</v>
      </c>
      <c r="EA14" s="26">
        <f t="shared" si="38"/>
        <v>43446</v>
      </c>
      <c r="EB14" s="24" t="str">
        <f t="shared" si="39"/>
        <v/>
      </c>
      <c r="EC14" s="54" t="str">
        <f>IF(ISNA(VLOOKUP(DT14,Aufenthalte!$A:$G,7,FALSE))=TRUE,"",VLOOKUP(DT14,Aufenthalte!$A:$G,7,FALSE))</f>
        <v xml:space="preserve">
</v>
      </c>
      <c r="ED14" s="7" t="str">
        <f t="shared" si="70"/>
        <v/>
      </c>
      <c r="EE14" s="27">
        <f>DATE(Konfiguration!$B$2+1,1,$B14)</f>
        <v>43477</v>
      </c>
      <c r="EF14" s="28">
        <f t="shared" si="71"/>
        <v>1</v>
      </c>
      <c r="EG14" s="28">
        <f>IF(ISNA(VLOOKUP(EE14,Ferien!$A:$A,1,FALSE))=TRUE,0,1)</f>
        <v>0</v>
      </c>
      <c r="EH14" s="28">
        <f>IF(ISNA(VLOOKUP(EE14,Feiertage!$A:$A,1,FALSE))=TRUE,0,1)</f>
        <v>0</v>
      </c>
      <c r="EI14" s="28">
        <f>IF(ISNA(VLOOKUP(EE14,Termine!$A:$A,1,FALSE))=TRUE,0,1)</f>
        <v>0</v>
      </c>
      <c r="EJ14" s="28" t="str">
        <f>IF(ISNA(VLOOKUP(EE14,Aufenthalte!$A:$B,2,FALSE))=TRUE,"",VLOOKUP(EE14,Aufenthalte!$A:$B,2,FALSE))</f>
        <v>Mama</v>
      </c>
      <c r="EK14" s="25">
        <f t="shared" si="41"/>
        <v>12</v>
      </c>
      <c r="EL14" s="26">
        <f t="shared" si="42"/>
        <v>43477</v>
      </c>
      <c r="EM14" s="24" t="str">
        <f t="shared" si="43"/>
        <v/>
      </c>
      <c r="EN14" s="54" t="str">
        <f>IF(ISNA(VLOOKUP(EE14,Aufenthalte!$A:$G,7,FALSE))=TRUE,"",VLOOKUP(EE14,Aufenthalte!$A:$G,7,FALSE))</f>
        <v xml:space="preserve">
</v>
      </c>
      <c r="EO14" s="7" t="str">
        <f t="shared" si="72"/>
        <v/>
      </c>
    </row>
    <row r="15" spans="2:145" s="1" customFormat="1" ht="21" customHeight="1">
      <c r="B15" s="8">
        <v>13</v>
      </c>
      <c r="C15" s="27">
        <f>DATE(Konfiguration!$B$2,1,$B15)</f>
        <v>43113</v>
      </c>
      <c r="D15" s="28">
        <f t="shared" si="45"/>
        <v>1</v>
      </c>
      <c r="E15" s="28">
        <f>IF(ISNA(VLOOKUP(C15,Ferien!$A:$A,1,FALSE))=TRUE,0,1)</f>
        <v>0</v>
      </c>
      <c r="F15" s="28">
        <f>IF(ISNA(VLOOKUP(C15,Feiertage!$A:$A,1,FALSE))=TRUE,0,1)</f>
        <v>0</v>
      </c>
      <c r="G15" s="28">
        <f>IF(ISNA(VLOOKUP(C15,Termine!$A:$A,1,FALSE))=TRUE,0,1)</f>
        <v>0</v>
      </c>
      <c r="H15" s="28" t="str">
        <f>IF(ISNA(VLOOKUP(C15,Aufenthalte!$A:$B,2,FALSE))=TRUE,"",VLOOKUP(C15,Aufenthalte!$A:$B,2,FALSE))</f>
        <v>Papa</v>
      </c>
      <c r="I15" s="25">
        <f t="shared" si="46"/>
        <v>13</v>
      </c>
      <c r="J15" s="26">
        <f t="shared" si="0"/>
        <v>43113</v>
      </c>
      <c r="K15" s="24" t="str">
        <f t="shared" si="47"/>
        <v/>
      </c>
      <c r="L15" s="54" t="str">
        <f>IF(ISNA(VLOOKUP(C15,Aufenthalte!$A:$G,7,FALSE))=TRUE,"",VLOOKUP(C15,Aufenthalte!$A:$G,7,FALSE))</f>
        <v xml:space="preserve">
</v>
      </c>
      <c r="M15" s="7" t="str">
        <f t="shared" si="77"/>
        <v/>
      </c>
      <c r="N15" s="27">
        <f>DATE(Konfiguration!$B$2,2,$B15)</f>
        <v>43144</v>
      </c>
      <c r="O15" s="28">
        <f t="shared" si="48"/>
        <v>0</v>
      </c>
      <c r="P15" s="28">
        <f>IF(ISNA(VLOOKUP(N15,Ferien!$A:$A,1,FALSE))=TRUE,0,1)</f>
        <v>1</v>
      </c>
      <c r="Q15" s="28">
        <f>IF(ISNA(VLOOKUP(N15,Feiertage!$A:$A,1,FALSE))=TRUE,0,1)</f>
        <v>0</v>
      </c>
      <c r="R15" s="28">
        <f>IF(ISNA(VLOOKUP(N15,Termine!$A:$A,1,FALSE))=TRUE,0,1)</f>
        <v>0</v>
      </c>
      <c r="S15" s="28" t="str">
        <f>IF(ISNA(VLOOKUP(N15,Aufenthalte!$A:$B,2,FALSE))=TRUE,"",VLOOKUP(N15,Aufenthalte!$A:$B,2,FALSE))</f>
        <v>Mama</v>
      </c>
      <c r="T15" s="25">
        <f t="shared" si="49"/>
        <v>13</v>
      </c>
      <c r="U15" s="26">
        <f t="shared" si="50"/>
        <v>43144</v>
      </c>
      <c r="V15" s="24" t="str">
        <f t="shared" si="2"/>
        <v/>
      </c>
      <c r="W15" s="54" t="str">
        <f>IF(ISNA(VLOOKUP(N15,Aufenthalte!$A:$G,7,FALSE))=TRUE,"",VLOOKUP(N15,Aufenthalte!$A:$G,7,FALSE))</f>
        <v xml:space="preserve">
</v>
      </c>
      <c r="X15" s="7" t="str">
        <f t="shared" si="51"/>
        <v/>
      </c>
      <c r="Y15" s="27">
        <f>DATE(Konfiguration!$B$2,3,$B15)</f>
        <v>43172</v>
      </c>
      <c r="Z15" s="28">
        <f t="shared" si="73"/>
        <v>0</v>
      </c>
      <c r="AA15" s="28">
        <f>IF(ISNA(VLOOKUP(Y15,Ferien!$A:$A,1,FALSE))=TRUE,0,1)</f>
        <v>0</v>
      </c>
      <c r="AB15" s="28">
        <f>IF(ISNA(VLOOKUP(Y15,Feiertage!$A:$A,1,FALSE))=TRUE,0,1)</f>
        <v>0</v>
      </c>
      <c r="AC15" s="28">
        <f>IF(ISNA(VLOOKUP(Y15,Termine!$A:$A,1,FALSE))=TRUE,0,1)</f>
        <v>0</v>
      </c>
      <c r="AD15" s="28" t="str">
        <f>IF(ISNA(VLOOKUP(Y15,Aufenthalte!$A:$B,2,FALSE))=TRUE,"",VLOOKUP(Y15,Aufenthalte!$A:$B,2,FALSE))</f>
        <v>Mama</v>
      </c>
      <c r="AE15" s="25">
        <f t="shared" si="74"/>
        <v>13</v>
      </c>
      <c r="AF15" s="26">
        <f t="shared" si="75"/>
        <v>43172</v>
      </c>
      <c r="AG15" s="24" t="str">
        <f t="shared" si="76"/>
        <v/>
      </c>
      <c r="AH15" s="54" t="str">
        <f>IF(ISNA(VLOOKUP(Y15,Aufenthalte!$A:$G,7,FALSE))=TRUE,"",VLOOKUP(Y15,Aufenthalte!$A:$G,7,FALSE))</f>
        <v xml:space="preserve">
</v>
      </c>
      <c r="AI15" s="7" t="str">
        <f t="shared" si="52"/>
        <v/>
      </c>
      <c r="AJ15" s="27">
        <f>DATE(Konfiguration!$B$2,4,$B15)</f>
        <v>43203</v>
      </c>
      <c r="AK15" s="28">
        <f t="shared" si="53"/>
        <v>0</v>
      </c>
      <c r="AL15" s="28">
        <f>IF(ISNA(VLOOKUP(AJ15,Ferien!$A:$A,1,FALSE))=TRUE,0,1)</f>
        <v>0</v>
      </c>
      <c r="AM15" s="28">
        <f>IF(ISNA(VLOOKUP(AJ15,Feiertage!$A:$A,1,FALSE))=TRUE,0,1)</f>
        <v>0</v>
      </c>
      <c r="AN15" s="28">
        <f>IF(ISNA(VLOOKUP(AJ15,Termine!$A:$A,1,FALSE))=TRUE,0,1)</f>
        <v>0</v>
      </c>
      <c r="AO15" s="28" t="str">
        <f>IF(ISNA(VLOOKUP(AJ15,Aufenthalte!$A:$B,2,FALSE))=TRUE,"",VLOOKUP(AJ15,Aufenthalte!$A:$B,2,FALSE))</f>
        <v>Mama</v>
      </c>
      <c r="AP15" s="25">
        <f t="shared" si="5"/>
        <v>13</v>
      </c>
      <c r="AQ15" s="26">
        <f t="shared" si="6"/>
        <v>43203</v>
      </c>
      <c r="AR15" s="24" t="str">
        <f t="shared" si="7"/>
        <v/>
      </c>
      <c r="AS15" s="54" t="str">
        <f>IF(ISNA(VLOOKUP(AJ15,Aufenthalte!$A:$G,7,FALSE))=TRUE,"",VLOOKUP(AJ15,Aufenthalte!$A:$G,7,FALSE))</f>
        <v xml:space="preserve">
</v>
      </c>
      <c r="AT15" s="7" t="str">
        <f t="shared" si="54"/>
        <v/>
      </c>
      <c r="AU15" s="27">
        <f>DATE(Konfiguration!$B$2,5,$B15)</f>
        <v>43233</v>
      </c>
      <c r="AV15" s="28">
        <f t="shared" si="55"/>
        <v>1</v>
      </c>
      <c r="AW15" s="28">
        <f>IF(ISNA(VLOOKUP(AU15,Ferien!$A:$A,1,FALSE))=TRUE,0,1)</f>
        <v>0</v>
      </c>
      <c r="AX15" s="28">
        <f>IF(ISNA(VLOOKUP(AU15,Feiertage!$A:$A,1,FALSE))=TRUE,0,1)</f>
        <v>0</v>
      </c>
      <c r="AY15" s="28">
        <f>IF(ISNA(VLOOKUP(AU15,Termine!$A:$A,1,FALSE))=TRUE,0,1)</f>
        <v>1</v>
      </c>
      <c r="AZ15" s="28" t="str">
        <f>IF(ISNA(VLOOKUP(AU15,Aufenthalte!$A:$B,2,FALSE))=TRUE,"",VLOOKUP(AU15,Aufenthalte!$A:$B,2,FALSE))</f>
        <v>Mama</v>
      </c>
      <c r="BA15" s="25">
        <f t="shared" si="9"/>
        <v>13</v>
      </c>
      <c r="BB15" s="26">
        <f t="shared" si="10"/>
        <v>43233</v>
      </c>
      <c r="BC15" s="24" t="str">
        <f t="shared" si="11"/>
        <v>ü</v>
      </c>
      <c r="BD15" s="54" t="str">
        <f>IF(ISNA(VLOOKUP(AU15,Aufenthalte!$A:$G,7,FALSE))=TRUE,"",VLOOKUP(AU15,Aufenthalte!$A:$G,7,FALSE))</f>
        <v xml:space="preserve">
</v>
      </c>
      <c r="BE15" s="7" t="str">
        <f t="shared" si="56"/>
        <v/>
      </c>
      <c r="BF15" s="27">
        <f>DATE(Konfiguration!$B$2,6,$B15)</f>
        <v>43264</v>
      </c>
      <c r="BG15" s="28">
        <f t="shared" si="57"/>
        <v>0</v>
      </c>
      <c r="BH15" s="28">
        <f>IF(ISNA(VLOOKUP(BF15,Ferien!$A:$A,1,FALSE))=TRUE,0,1)</f>
        <v>0</v>
      </c>
      <c r="BI15" s="28">
        <f>IF(ISNA(VLOOKUP(BF15,Feiertage!$A:$A,1,FALSE))=TRUE,0,1)</f>
        <v>0</v>
      </c>
      <c r="BJ15" s="28">
        <f>IF(ISNA(VLOOKUP(BF15,Termine!$A:$A,1,FALSE))=TRUE,0,1)</f>
        <v>0</v>
      </c>
      <c r="BK15" s="28" t="str">
        <f>IF(ISNA(VLOOKUP(BF15,Aufenthalte!$A:$B,2,FALSE))=TRUE,"",VLOOKUP(BF15,Aufenthalte!$A:$B,2,FALSE))</f>
        <v>Mama</v>
      </c>
      <c r="BL15" s="25">
        <f t="shared" si="13"/>
        <v>13</v>
      </c>
      <c r="BM15" s="26">
        <f t="shared" si="14"/>
        <v>43264</v>
      </c>
      <c r="BN15" s="24" t="str">
        <f t="shared" si="15"/>
        <v/>
      </c>
      <c r="BO15" s="54" t="str">
        <f>IF(ISNA(VLOOKUP(BF15,Aufenthalte!$A:$G,7,FALSE))=TRUE,"",VLOOKUP(BF15,Aufenthalte!$A:$G,7,FALSE))</f>
        <v xml:space="preserve">
</v>
      </c>
      <c r="BP15" s="7" t="str">
        <f t="shared" si="58"/>
        <v/>
      </c>
      <c r="BQ15" s="27">
        <f>DATE(Konfiguration!$B$2,7,$B15)</f>
        <v>43294</v>
      </c>
      <c r="BR15" s="28">
        <f t="shared" si="59"/>
        <v>0</v>
      </c>
      <c r="BS15" s="28">
        <f>IF(ISNA(VLOOKUP(BQ15,Ferien!$A:$A,1,FALSE))=TRUE,0,1)</f>
        <v>1</v>
      </c>
      <c r="BT15" s="28">
        <f>IF(ISNA(VLOOKUP(BQ15,Feiertage!$A:$A,1,FALSE))=TRUE,0,1)</f>
        <v>0</v>
      </c>
      <c r="BU15" s="28">
        <f>IF(ISNA(VLOOKUP(BQ15,Termine!$A:$A,1,FALSE))=TRUE,0,1)</f>
        <v>0</v>
      </c>
      <c r="BV15" s="28" t="str">
        <f>IF(ISNA(VLOOKUP(BQ15,Aufenthalte!$A:$B,2,FALSE))=TRUE,"",VLOOKUP(BQ15,Aufenthalte!$A:$B,2,FALSE))</f>
        <v>Mama</v>
      </c>
      <c r="BW15" s="25">
        <f t="shared" si="17"/>
        <v>13</v>
      </c>
      <c r="BX15" s="26">
        <f t="shared" si="18"/>
        <v>43294</v>
      </c>
      <c r="BY15" s="24" t="str">
        <f t="shared" si="19"/>
        <v/>
      </c>
      <c r="BZ15" s="54" t="str">
        <f>IF(ISNA(VLOOKUP(BQ15,Aufenthalte!$A:$G,7,FALSE))=TRUE,"",VLOOKUP(BQ15,Aufenthalte!$A:$G,7,FALSE))</f>
        <v xml:space="preserve">
</v>
      </c>
      <c r="CA15" s="7" t="str">
        <f t="shared" si="60"/>
        <v/>
      </c>
      <c r="CB15" s="27">
        <f>DATE(Konfiguration!$B$2,8,$B15)</f>
        <v>43325</v>
      </c>
      <c r="CC15" s="28">
        <f t="shared" si="61"/>
        <v>0</v>
      </c>
      <c r="CD15" s="28">
        <f>IF(ISNA(VLOOKUP(CB15,Ferien!$A:$A,1,FALSE))=TRUE,0,1)</f>
        <v>0</v>
      </c>
      <c r="CE15" s="28">
        <f>IF(ISNA(VLOOKUP(CB15,Feiertage!$A:$A,1,FALSE))=TRUE,0,1)</f>
        <v>0</v>
      </c>
      <c r="CF15" s="28">
        <f>IF(ISNA(VLOOKUP(CB15,Termine!$A:$A,1,FALSE))=TRUE,0,1)</f>
        <v>0</v>
      </c>
      <c r="CG15" s="28" t="str">
        <f>IF(ISNA(VLOOKUP(CB15,Aufenthalte!$A:$B,2,FALSE))=TRUE,"",VLOOKUP(CB15,Aufenthalte!$A:$B,2,FALSE))</f>
        <v>Mama</v>
      </c>
      <c r="CH15" s="25">
        <f t="shared" si="21"/>
        <v>13</v>
      </c>
      <c r="CI15" s="26">
        <f t="shared" si="22"/>
        <v>43325</v>
      </c>
      <c r="CJ15" s="24" t="str">
        <f t="shared" si="23"/>
        <v/>
      </c>
      <c r="CK15" s="54" t="str">
        <f>IF(ISNA(VLOOKUP(CB15,Aufenthalte!$A:$G,7,FALSE))=TRUE,"",VLOOKUP(CB15,Aufenthalte!$A:$G,7,FALSE))</f>
        <v xml:space="preserve">
</v>
      </c>
      <c r="CL15" s="7">
        <f t="shared" si="62"/>
        <v>33</v>
      </c>
      <c r="CM15" s="27">
        <f>DATE(Konfiguration!$B$2,9,$B15)</f>
        <v>43356</v>
      </c>
      <c r="CN15" s="28">
        <f t="shared" si="63"/>
        <v>0</v>
      </c>
      <c r="CO15" s="28">
        <f>IF(ISNA(VLOOKUP(CM15,Ferien!$A:$A,1,FALSE))=TRUE,0,1)</f>
        <v>0</v>
      </c>
      <c r="CP15" s="28">
        <f>IF(ISNA(VLOOKUP(CM15,Feiertage!$A:$A,1,FALSE))=TRUE,0,1)</f>
        <v>0</v>
      </c>
      <c r="CQ15" s="28">
        <f>IF(ISNA(VLOOKUP(CM15,Termine!$A:$A,1,FALSE))=TRUE,0,1)</f>
        <v>0</v>
      </c>
      <c r="CR15" s="28" t="str">
        <f>IF(ISNA(VLOOKUP(CM15,Aufenthalte!$A:$B,2,FALSE))=TRUE,"",VLOOKUP(CM15,Aufenthalte!$A:$B,2,FALSE))</f>
        <v>Mama</v>
      </c>
      <c r="CS15" s="25">
        <f t="shared" si="25"/>
        <v>13</v>
      </c>
      <c r="CT15" s="26">
        <f t="shared" si="26"/>
        <v>43356</v>
      </c>
      <c r="CU15" s="24" t="str">
        <f t="shared" si="27"/>
        <v/>
      </c>
      <c r="CV15" s="54" t="str">
        <f>IF(ISNA(VLOOKUP(CM15,Aufenthalte!$A:$G,7,FALSE))=TRUE,"",VLOOKUP(CM15,Aufenthalte!$A:$G,7,FALSE))</f>
        <v xml:space="preserve">
</v>
      </c>
      <c r="CW15" s="7" t="str">
        <f t="shared" si="64"/>
        <v/>
      </c>
      <c r="CX15" s="27">
        <f>DATE(Konfiguration!$B$2,10,$B15)</f>
        <v>43386</v>
      </c>
      <c r="CY15" s="28">
        <f t="shared" si="65"/>
        <v>1</v>
      </c>
      <c r="CZ15" s="28">
        <f>IF(ISNA(VLOOKUP(CX15,Ferien!$A:$A,1,FALSE))=TRUE,0,1)</f>
        <v>0</v>
      </c>
      <c r="DA15" s="28">
        <f>IF(ISNA(VLOOKUP(CX15,Feiertage!$A:$A,1,FALSE))=TRUE,0,1)</f>
        <v>0</v>
      </c>
      <c r="DB15" s="28">
        <f>IF(ISNA(VLOOKUP(CX15,Termine!$A:$A,1,FALSE))=TRUE,0,1)</f>
        <v>0</v>
      </c>
      <c r="DC15" s="28" t="str">
        <f>IF(ISNA(VLOOKUP(CX15,Aufenthalte!$A:$B,2,FALSE))=TRUE,"",VLOOKUP(CX15,Aufenthalte!$A:$B,2,FALSE))</f>
        <v>Mama</v>
      </c>
      <c r="DD15" s="25">
        <f t="shared" si="29"/>
        <v>13</v>
      </c>
      <c r="DE15" s="26">
        <f t="shared" si="30"/>
        <v>43386</v>
      </c>
      <c r="DF15" s="24" t="str">
        <f t="shared" si="31"/>
        <v/>
      </c>
      <c r="DG15" s="54" t="str">
        <f>IF(ISNA(VLOOKUP(CX15,Aufenthalte!$A:$G,7,FALSE))=TRUE,"",VLOOKUP(CX15,Aufenthalte!$A:$G,7,FALSE))</f>
        <v xml:space="preserve">
</v>
      </c>
      <c r="DH15" s="7" t="str">
        <f t="shared" si="66"/>
        <v/>
      </c>
      <c r="DI15" s="27">
        <f>DATE(Konfiguration!$B$2,11,$B15)</f>
        <v>43417</v>
      </c>
      <c r="DJ15" s="28">
        <f t="shared" si="67"/>
        <v>0</v>
      </c>
      <c r="DK15" s="28">
        <f>IF(ISNA(VLOOKUP(DI15,Ferien!$A:$A,1,FALSE))=TRUE,0,1)</f>
        <v>0</v>
      </c>
      <c r="DL15" s="28">
        <f>IF(ISNA(VLOOKUP(DI15,Feiertage!$A:$A,1,FALSE))=TRUE,0,1)</f>
        <v>0</v>
      </c>
      <c r="DM15" s="28">
        <f>IF(ISNA(VLOOKUP(DI15,Termine!$A:$A,1,FALSE))=TRUE,0,1)</f>
        <v>0</v>
      </c>
      <c r="DN15" s="28" t="str">
        <f>IF(ISNA(VLOOKUP(DI15,Aufenthalte!$A:$B,2,FALSE))=TRUE,"",VLOOKUP(DI15,Aufenthalte!$A:$B,2,FALSE))</f>
        <v>Mama</v>
      </c>
      <c r="DO15" s="25">
        <f t="shared" si="33"/>
        <v>13</v>
      </c>
      <c r="DP15" s="26">
        <f t="shared" si="34"/>
        <v>43417</v>
      </c>
      <c r="DQ15" s="24" t="str">
        <f t="shared" si="35"/>
        <v/>
      </c>
      <c r="DR15" s="54" t="str">
        <f>IF(ISNA(VLOOKUP(DI15,Aufenthalte!$A:$G,7,FALSE))=TRUE,"",VLOOKUP(DI15,Aufenthalte!$A:$G,7,FALSE))</f>
        <v xml:space="preserve">
</v>
      </c>
      <c r="DS15" s="7" t="str">
        <f t="shared" si="68"/>
        <v/>
      </c>
      <c r="DT15" s="27">
        <f>DATE(Konfiguration!$B$2,12,$B15)</f>
        <v>43447</v>
      </c>
      <c r="DU15" s="28">
        <f t="shared" si="69"/>
        <v>0</v>
      </c>
      <c r="DV15" s="28">
        <f>IF(ISNA(VLOOKUP(DT15,Ferien!$A:$A,1,FALSE))=TRUE,0,1)</f>
        <v>0</v>
      </c>
      <c r="DW15" s="28">
        <f>IF(ISNA(VLOOKUP(DT15,Feiertage!$A:$A,1,FALSE))=TRUE,0,1)</f>
        <v>0</v>
      </c>
      <c r="DX15" s="28">
        <f>IF(ISNA(VLOOKUP(DT15,Termine!$A:$A,1,FALSE))=TRUE,0,1)</f>
        <v>0</v>
      </c>
      <c r="DY15" s="28" t="str">
        <f>IF(ISNA(VLOOKUP(DT15,Aufenthalte!$A:$B,2,FALSE))=TRUE,"",VLOOKUP(DT15,Aufenthalte!$A:$B,2,FALSE))</f>
        <v>Mama</v>
      </c>
      <c r="DZ15" s="25">
        <f t="shared" si="37"/>
        <v>13</v>
      </c>
      <c r="EA15" s="26">
        <f t="shared" si="38"/>
        <v>43447</v>
      </c>
      <c r="EB15" s="24" t="str">
        <f t="shared" si="39"/>
        <v/>
      </c>
      <c r="EC15" s="54" t="str">
        <f>IF(ISNA(VLOOKUP(DT15,Aufenthalte!$A:$G,7,FALSE))=TRUE,"",VLOOKUP(DT15,Aufenthalte!$A:$G,7,FALSE))</f>
        <v xml:space="preserve">
</v>
      </c>
      <c r="ED15" s="7" t="str">
        <f t="shared" si="70"/>
        <v/>
      </c>
      <c r="EE15" s="27">
        <f>DATE(Konfiguration!$B$2+1,1,$B15)</f>
        <v>43478</v>
      </c>
      <c r="EF15" s="28">
        <f t="shared" si="71"/>
        <v>1</v>
      </c>
      <c r="EG15" s="28">
        <f>IF(ISNA(VLOOKUP(EE15,Ferien!$A:$A,1,FALSE))=TRUE,0,1)</f>
        <v>0</v>
      </c>
      <c r="EH15" s="28">
        <f>IF(ISNA(VLOOKUP(EE15,Feiertage!$A:$A,1,FALSE))=TRUE,0,1)</f>
        <v>0</v>
      </c>
      <c r="EI15" s="28">
        <f>IF(ISNA(VLOOKUP(EE15,Termine!$A:$A,1,FALSE))=TRUE,0,1)</f>
        <v>0</v>
      </c>
      <c r="EJ15" s="28" t="str">
        <f>IF(ISNA(VLOOKUP(EE15,Aufenthalte!$A:$B,2,FALSE))=TRUE,"",VLOOKUP(EE15,Aufenthalte!$A:$B,2,FALSE))</f>
        <v>Mama</v>
      </c>
      <c r="EK15" s="25">
        <f t="shared" si="41"/>
        <v>13</v>
      </c>
      <c r="EL15" s="26">
        <f t="shared" si="42"/>
        <v>43478</v>
      </c>
      <c r="EM15" s="24" t="str">
        <f t="shared" si="43"/>
        <v/>
      </c>
      <c r="EN15" s="54" t="str">
        <f>IF(ISNA(VLOOKUP(EE15,Aufenthalte!$A:$G,7,FALSE))=TRUE,"",VLOOKUP(EE15,Aufenthalte!$A:$G,7,FALSE))</f>
        <v xml:space="preserve">
</v>
      </c>
      <c r="EO15" s="7" t="str">
        <f t="shared" si="72"/>
        <v/>
      </c>
    </row>
    <row r="16" spans="2:145" s="1" customFormat="1" ht="21" customHeight="1">
      <c r="B16" s="8">
        <v>14</v>
      </c>
      <c r="C16" s="27">
        <f>DATE(Konfiguration!$B$2,1,$B16)</f>
        <v>43114</v>
      </c>
      <c r="D16" s="28">
        <f t="shared" si="45"/>
        <v>1</v>
      </c>
      <c r="E16" s="28">
        <f>IF(ISNA(VLOOKUP(C16,Ferien!$A:$A,1,FALSE))=TRUE,0,1)</f>
        <v>0</v>
      </c>
      <c r="F16" s="28">
        <f>IF(ISNA(VLOOKUP(C16,Feiertage!$A:$A,1,FALSE))=TRUE,0,1)</f>
        <v>0</v>
      </c>
      <c r="G16" s="28">
        <f>IF(ISNA(VLOOKUP(C16,Termine!$A:$A,1,FALSE))=TRUE,0,1)</f>
        <v>0</v>
      </c>
      <c r="H16" s="28" t="str">
        <f>IF(ISNA(VLOOKUP(C16,Aufenthalte!$A:$B,2,FALSE))=TRUE,"",VLOOKUP(C16,Aufenthalte!$A:$B,2,FALSE))</f>
        <v>Papa</v>
      </c>
      <c r="I16" s="25">
        <f t="shared" si="46"/>
        <v>14</v>
      </c>
      <c r="J16" s="26">
        <f t="shared" si="0"/>
        <v>43114</v>
      </c>
      <c r="K16" s="24" t="str">
        <f t="shared" si="47"/>
        <v/>
      </c>
      <c r="L16" s="54" t="str">
        <f>IF(ISNA(VLOOKUP(C16,Aufenthalte!$A:$G,7,FALSE))=TRUE,"",VLOOKUP(C16,Aufenthalte!$A:$G,7,FALSE))</f>
        <v xml:space="preserve">
17:30</v>
      </c>
      <c r="M16" s="7" t="str">
        <f t="shared" si="77"/>
        <v/>
      </c>
      <c r="N16" s="27">
        <f>DATE(Konfiguration!$B$2,2,$B16)</f>
        <v>43145</v>
      </c>
      <c r="O16" s="28">
        <f t="shared" si="48"/>
        <v>0</v>
      </c>
      <c r="P16" s="28">
        <f>IF(ISNA(VLOOKUP(N16,Ferien!$A:$A,1,FALSE))=TRUE,0,1)</f>
        <v>0</v>
      </c>
      <c r="Q16" s="28">
        <f>IF(ISNA(VLOOKUP(N16,Feiertage!$A:$A,1,FALSE))=TRUE,0,1)</f>
        <v>0</v>
      </c>
      <c r="R16" s="28">
        <f>IF(ISNA(VLOOKUP(N16,Termine!$A:$A,1,FALSE))=TRUE,0,1)</f>
        <v>0</v>
      </c>
      <c r="S16" s="28" t="str">
        <f>IF(ISNA(VLOOKUP(N16,Aufenthalte!$A:$B,2,FALSE))=TRUE,"",VLOOKUP(N16,Aufenthalte!$A:$B,2,FALSE))</f>
        <v>Mama</v>
      </c>
      <c r="T16" s="25">
        <f t="shared" si="49"/>
        <v>14</v>
      </c>
      <c r="U16" s="26">
        <f t="shared" si="50"/>
        <v>43145</v>
      </c>
      <c r="V16" s="24" t="str">
        <f t="shared" si="2"/>
        <v/>
      </c>
      <c r="W16" s="54" t="str">
        <f>IF(ISNA(VLOOKUP(N16,Aufenthalte!$A:$G,7,FALSE))=TRUE,"",VLOOKUP(N16,Aufenthalte!$A:$G,7,FALSE))</f>
        <v xml:space="preserve">
</v>
      </c>
      <c r="X16" s="7" t="str">
        <f t="shared" si="51"/>
        <v/>
      </c>
      <c r="Y16" s="27">
        <f>DATE(Konfiguration!$B$2,3,$B16)</f>
        <v>43173</v>
      </c>
      <c r="Z16" s="28">
        <f t="shared" si="73"/>
        <v>0</v>
      </c>
      <c r="AA16" s="28">
        <f>IF(ISNA(VLOOKUP(Y16,Ferien!$A:$A,1,FALSE))=TRUE,0,1)</f>
        <v>0</v>
      </c>
      <c r="AB16" s="28">
        <f>IF(ISNA(VLOOKUP(Y16,Feiertage!$A:$A,1,FALSE))=TRUE,0,1)</f>
        <v>0</v>
      </c>
      <c r="AC16" s="28">
        <f>IF(ISNA(VLOOKUP(Y16,Termine!$A:$A,1,FALSE))=TRUE,0,1)</f>
        <v>0</v>
      </c>
      <c r="AD16" s="28" t="str">
        <f>IF(ISNA(VLOOKUP(Y16,Aufenthalte!$A:$B,2,FALSE))=TRUE,"",VLOOKUP(Y16,Aufenthalte!$A:$B,2,FALSE))</f>
        <v>Mama</v>
      </c>
      <c r="AE16" s="25">
        <f t="shared" si="74"/>
        <v>14</v>
      </c>
      <c r="AF16" s="26">
        <f t="shared" si="75"/>
        <v>43173</v>
      </c>
      <c r="AG16" s="24" t="str">
        <f t="shared" si="76"/>
        <v/>
      </c>
      <c r="AH16" s="54" t="str">
        <f>IF(ISNA(VLOOKUP(Y16,Aufenthalte!$A:$G,7,FALSE))=TRUE,"",VLOOKUP(Y16,Aufenthalte!$A:$G,7,FALSE))</f>
        <v xml:space="preserve">
</v>
      </c>
      <c r="AI16" s="7" t="str">
        <f t="shared" si="52"/>
        <v/>
      </c>
      <c r="AJ16" s="27">
        <f>DATE(Konfiguration!$B$2,4,$B16)</f>
        <v>43204</v>
      </c>
      <c r="AK16" s="28">
        <f t="shared" si="53"/>
        <v>1</v>
      </c>
      <c r="AL16" s="28">
        <f>IF(ISNA(VLOOKUP(AJ16,Ferien!$A:$A,1,FALSE))=TRUE,0,1)</f>
        <v>0</v>
      </c>
      <c r="AM16" s="28">
        <f>IF(ISNA(VLOOKUP(AJ16,Feiertage!$A:$A,1,FALSE))=TRUE,0,1)</f>
        <v>0</v>
      </c>
      <c r="AN16" s="28">
        <f>IF(ISNA(VLOOKUP(AJ16,Termine!$A:$A,1,FALSE))=TRUE,0,1)</f>
        <v>0</v>
      </c>
      <c r="AO16" s="28" t="str">
        <f>IF(ISNA(VLOOKUP(AJ16,Aufenthalte!$A:$B,2,FALSE))=TRUE,"",VLOOKUP(AJ16,Aufenthalte!$A:$B,2,FALSE))</f>
        <v>Mama</v>
      </c>
      <c r="AP16" s="25">
        <f t="shared" si="5"/>
        <v>14</v>
      </c>
      <c r="AQ16" s="26">
        <f t="shared" si="6"/>
        <v>43204</v>
      </c>
      <c r="AR16" s="24" t="str">
        <f t="shared" si="7"/>
        <v/>
      </c>
      <c r="AS16" s="54" t="str">
        <f>IF(ISNA(VLOOKUP(AJ16,Aufenthalte!$A:$G,7,FALSE))=TRUE,"",VLOOKUP(AJ16,Aufenthalte!$A:$G,7,FALSE))</f>
        <v xml:space="preserve">
</v>
      </c>
      <c r="AT16" s="7" t="str">
        <f t="shared" si="54"/>
        <v/>
      </c>
      <c r="AU16" s="27">
        <f>DATE(Konfiguration!$B$2,5,$B16)</f>
        <v>43234</v>
      </c>
      <c r="AV16" s="28">
        <f t="shared" si="55"/>
        <v>0</v>
      </c>
      <c r="AW16" s="28">
        <f>IF(ISNA(VLOOKUP(AU16,Ferien!$A:$A,1,FALSE))=TRUE,0,1)</f>
        <v>0</v>
      </c>
      <c r="AX16" s="28">
        <f>IF(ISNA(VLOOKUP(AU16,Feiertage!$A:$A,1,FALSE))=TRUE,0,1)</f>
        <v>0</v>
      </c>
      <c r="AY16" s="28">
        <f>IF(ISNA(VLOOKUP(AU16,Termine!$A:$A,1,FALSE))=TRUE,0,1)</f>
        <v>0</v>
      </c>
      <c r="AZ16" s="28" t="str">
        <f>IF(ISNA(VLOOKUP(AU16,Aufenthalte!$A:$B,2,FALSE))=TRUE,"",VLOOKUP(AU16,Aufenthalte!$A:$B,2,FALSE))</f>
        <v>Mama</v>
      </c>
      <c r="BA16" s="25">
        <f t="shared" si="9"/>
        <v>14</v>
      </c>
      <c r="BB16" s="26">
        <f t="shared" si="10"/>
        <v>43234</v>
      </c>
      <c r="BC16" s="24" t="str">
        <f t="shared" si="11"/>
        <v/>
      </c>
      <c r="BD16" s="54" t="str">
        <f>IF(ISNA(VLOOKUP(AU16,Aufenthalte!$A:$G,7,FALSE))=TRUE,"",VLOOKUP(AU16,Aufenthalte!$A:$G,7,FALSE))</f>
        <v xml:space="preserve">
</v>
      </c>
      <c r="BE16" s="7">
        <f t="shared" si="56"/>
        <v>20</v>
      </c>
      <c r="BF16" s="27">
        <f>DATE(Konfiguration!$B$2,6,$B16)</f>
        <v>43265</v>
      </c>
      <c r="BG16" s="28">
        <f t="shared" si="57"/>
        <v>0</v>
      </c>
      <c r="BH16" s="28">
        <f>IF(ISNA(VLOOKUP(BF16,Ferien!$A:$A,1,FALSE))=TRUE,0,1)</f>
        <v>0</v>
      </c>
      <c r="BI16" s="28">
        <f>IF(ISNA(VLOOKUP(BF16,Feiertage!$A:$A,1,FALSE))=TRUE,0,1)</f>
        <v>0</v>
      </c>
      <c r="BJ16" s="28">
        <f>IF(ISNA(VLOOKUP(BF16,Termine!$A:$A,1,FALSE))=TRUE,0,1)</f>
        <v>0</v>
      </c>
      <c r="BK16" s="28" t="str">
        <f>IF(ISNA(VLOOKUP(BF16,Aufenthalte!$A:$B,2,FALSE))=TRUE,"",VLOOKUP(BF16,Aufenthalte!$A:$B,2,FALSE))</f>
        <v>Mama</v>
      </c>
      <c r="BL16" s="25">
        <f t="shared" si="13"/>
        <v>14</v>
      </c>
      <c r="BM16" s="26">
        <f t="shared" si="14"/>
        <v>43265</v>
      </c>
      <c r="BN16" s="24" t="str">
        <f t="shared" si="15"/>
        <v/>
      </c>
      <c r="BO16" s="54" t="str">
        <f>IF(ISNA(VLOOKUP(BF16,Aufenthalte!$A:$G,7,FALSE))=TRUE,"",VLOOKUP(BF16,Aufenthalte!$A:$G,7,FALSE))</f>
        <v xml:space="preserve">
</v>
      </c>
      <c r="BP16" s="7" t="str">
        <f t="shared" si="58"/>
        <v/>
      </c>
      <c r="BQ16" s="27">
        <f>DATE(Konfiguration!$B$2,7,$B16)</f>
        <v>43295</v>
      </c>
      <c r="BR16" s="28">
        <f t="shared" si="59"/>
        <v>1</v>
      </c>
      <c r="BS16" s="28">
        <f>IF(ISNA(VLOOKUP(BQ16,Ferien!$A:$A,1,FALSE))=TRUE,0,1)</f>
        <v>1</v>
      </c>
      <c r="BT16" s="28">
        <f>IF(ISNA(VLOOKUP(BQ16,Feiertage!$A:$A,1,FALSE))=TRUE,0,1)</f>
        <v>0</v>
      </c>
      <c r="BU16" s="28">
        <f>IF(ISNA(VLOOKUP(BQ16,Termine!$A:$A,1,FALSE))=TRUE,0,1)</f>
        <v>0</v>
      </c>
      <c r="BV16" s="28" t="str">
        <f>IF(ISNA(VLOOKUP(BQ16,Aufenthalte!$A:$B,2,FALSE))=TRUE,"",VLOOKUP(BQ16,Aufenthalte!$A:$B,2,FALSE))</f>
        <v>Mama</v>
      </c>
      <c r="BW16" s="25">
        <f t="shared" si="17"/>
        <v>14</v>
      </c>
      <c r="BX16" s="26">
        <f t="shared" si="18"/>
        <v>43295</v>
      </c>
      <c r="BY16" s="24" t="str">
        <f t="shared" si="19"/>
        <v/>
      </c>
      <c r="BZ16" s="54" t="str">
        <f>IF(ISNA(VLOOKUP(BQ16,Aufenthalte!$A:$G,7,FALSE))=TRUE,"",VLOOKUP(BQ16,Aufenthalte!$A:$G,7,FALSE))</f>
        <v xml:space="preserve">
</v>
      </c>
      <c r="CA16" s="7" t="str">
        <f t="shared" si="60"/>
        <v/>
      </c>
      <c r="CB16" s="27">
        <f>DATE(Konfiguration!$B$2,8,$B16)</f>
        <v>43326</v>
      </c>
      <c r="CC16" s="28">
        <f t="shared" si="61"/>
        <v>0</v>
      </c>
      <c r="CD16" s="28">
        <f>IF(ISNA(VLOOKUP(CB16,Ferien!$A:$A,1,FALSE))=TRUE,0,1)</f>
        <v>0</v>
      </c>
      <c r="CE16" s="28">
        <f>IF(ISNA(VLOOKUP(CB16,Feiertage!$A:$A,1,FALSE))=TRUE,0,1)</f>
        <v>0</v>
      </c>
      <c r="CF16" s="28">
        <f>IF(ISNA(VLOOKUP(CB16,Termine!$A:$A,1,FALSE))=TRUE,0,1)</f>
        <v>0</v>
      </c>
      <c r="CG16" s="28" t="str">
        <f>IF(ISNA(VLOOKUP(CB16,Aufenthalte!$A:$B,2,FALSE))=TRUE,"",VLOOKUP(CB16,Aufenthalte!$A:$B,2,FALSE))</f>
        <v>Mama</v>
      </c>
      <c r="CH16" s="25">
        <f t="shared" si="21"/>
        <v>14</v>
      </c>
      <c r="CI16" s="26">
        <f t="shared" si="22"/>
        <v>43326</v>
      </c>
      <c r="CJ16" s="24" t="str">
        <f t="shared" si="23"/>
        <v/>
      </c>
      <c r="CK16" s="54" t="str">
        <f>IF(ISNA(VLOOKUP(CB16,Aufenthalte!$A:$G,7,FALSE))=TRUE,"",VLOOKUP(CB16,Aufenthalte!$A:$G,7,FALSE))</f>
        <v xml:space="preserve">
</v>
      </c>
      <c r="CL16" s="7" t="str">
        <f t="shared" si="62"/>
        <v/>
      </c>
      <c r="CM16" s="27">
        <f>DATE(Konfiguration!$B$2,9,$B16)</f>
        <v>43357</v>
      </c>
      <c r="CN16" s="28">
        <f t="shared" si="63"/>
        <v>0</v>
      </c>
      <c r="CO16" s="28">
        <f>IF(ISNA(VLOOKUP(CM16,Ferien!$A:$A,1,FALSE))=TRUE,0,1)</f>
        <v>0</v>
      </c>
      <c r="CP16" s="28">
        <f>IF(ISNA(VLOOKUP(CM16,Feiertage!$A:$A,1,FALSE))=TRUE,0,1)</f>
        <v>0</v>
      </c>
      <c r="CQ16" s="28">
        <f>IF(ISNA(VLOOKUP(CM16,Termine!$A:$A,1,FALSE))=TRUE,0,1)</f>
        <v>0</v>
      </c>
      <c r="CR16" s="28" t="str">
        <f>IF(ISNA(VLOOKUP(CM16,Aufenthalte!$A:$B,2,FALSE))=TRUE,"",VLOOKUP(CM16,Aufenthalte!$A:$B,2,FALSE))</f>
        <v>Mama</v>
      </c>
      <c r="CS16" s="25">
        <f t="shared" si="25"/>
        <v>14</v>
      </c>
      <c r="CT16" s="26">
        <f t="shared" si="26"/>
        <v>43357</v>
      </c>
      <c r="CU16" s="24" t="str">
        <f t="shared" si="27"/>
        <v/>
      </c>
      <c r="CV16" s="54" t="str">
        <f>IF(ISNA(VLOOKUP(CM16,Aufenthalte!$A:$G,7,FALSE))=TRUE,"",VLOOKUP(CM16,Aufenthalte!$A:$G,7,FALSE))</f>
        <v xml:space="preserve">
</v>
      </c>
      <c r="CW16" s="7" t="str">
        <f t="shared" si="64"/>
        <v/>
      </c>
      <c r="CX16" s="27">
        <f>DATE(Konfiguration!$B$2,10,$B16)</f>
        <v>43387</v>
      </c>
      <c r="CY16" s="28">
        <f t="shared" si="65"/>
        <v>1</v>
      </c>
      <c r="CZ16" s="28">
        <f>IF(ISNA(VLOOKUP(CX16,Ferien!$A:$A,1,FALSE))=TRUE,0,1)</f>
        <v>0</v>
      </c>
      <c r="DA16" s="28">
        <f>IF(ISNA(VLOOKUP(CX16,Feiertage!$A:$A,1,FALSE))=TRUE,0,1)</f>
        <v>0</v>
      </c>
      <c r="DB16" s="28">
        <f>IF(ISNA(VLOOKUP(CX16,Termine!$A:$A,1,FALSE))=TRUE,0,1)</f>
        <v>0</v>
      </c>
      <c r="DC16" s="28" t="str">
        <f>IF(ISNA(VLOOKUP(CX16,Aufenthalte!$A:$B,2,FALSE))=TRUE,"",VLOOKUP(CX16,Aufenthalte!$A:$B,2,FALSE))</f>
        <v>Mama</v>
      </c>
      <c r="DD16" s="25">
        <f t="shared" si="29"/>
        <v>14</v>
      </c>
      <c r="DE16" s="26">
        <f t="shared" si="30"/>
        <v>43387</v>
      </c>
      <c r="DF16" s="24" t="str">
        <f t="shared" si="31"/>
        <v/>
      </c>
      <c r="DG16" s="54" t="str">
        <f>IF(ISNA(VLOOKUP(CX16,Aufenthalte!$A:$G,7,FALSE))=TRUE,"",VLOOKUP(CX16,Aufenthalte!$A:$G,7,FALSE))</f>
        <v xml:space="preserve">
</v>
      </c>
      <c r="DH16" s="7" t="str">
        <f t="shared" si="66"/>
        <v/>
      </c>
      <c r="DI16" s="27">
        <f>DATE(Konfiguration!$B$2,11,$B16)</f>
        <v>43418</v>
      </c>
      <c r="DJ16" s="28">
        <f t="shared" si="67"/>
        <v>0</v>
      </c>
      <c r="DK16" s="28">
        <f>IF(ISNA(VLOOKUP(DI16,Ferien!$A:$A,1,FALSE))=TRUE,0,1)</f>
        <v>0</v>
      </c>
      <c r="DL16" s="28">
        <f>IF(ISNA(VLOOKUP(DI16,Feiertage!$A:$A,1,FALSE))=TRUE,0,1)</f>
        <v>0</v>
      </c>
      <c r="DM16" s="28">
        <f>IF(ISNA(VLOOKUP(DI16,Termine!$A:$A,1,FALSE))=TRUE,0,1)</f>
        <v>0</v>
      </c>
      <c r="DN16" s="28" t="str">
        <f>IF(ISNA(VLOOKUP(DI16,Aufenthalte!$A:$B,2,FALSE))=TRUE,"",VLOOKUP(DI16,Aufenthalte!$A:$B,2,FALSE))</f>
        <v>Mama</v>
      </c>
      <c r="DO16" s="25">
        <f t="shared" si="33"/>
        <v>14</v>
      </c>
      <c r="DP16" s="26">
        <f t="shared" si="34"/>
        <v>43418</v>
      </c>
      <c r="DQ16" s="24" t="str">
        <f t="shared" si="35"/>
        <v/>
      </c>
      <c r="DR16" s="54" t="str">
        <f>IF(ISNA(VLOOKUP(DI16,Aufenthalte!$A:$G,7,FALSE))=TRUE,"",VLOOKUP(DI16,Aufenthalte!$A:$G,7,FALSE))</f>
        <v xml:space="preserve">
</v>
      </c>
      <c r="DS16" s="7" t="str">
        <f t="shared" si="68"/>
        <v/>
      </c>
      <c r="DT16" s="27">
        <f>DATE(Konfiguration!$B$2,12,$B16)</f>
        <v>43448</v>
      </c>
      <c r="DU16" s="28">
        <f t="shared" si="69"/>
        <v>0</v>
      </c>
      <c r="DV16" s="28">
        <f>IF(ISNA(VLOOKUP(DT16,Ferien!$A:$A,1,FALSE))=TRUE,0,1)</f>
        <v>0</v>
      </c>
      <c r="DW16" s="28">
        <f>IF(ISNA(VLOOKUP(DT16,Feiertage!$A:$A,1,FALSE))=TRUE,0,1)</f>
        <v>0</v>
      </c>
      <c r="DX16" s="28">
        <f>IF(ISNA(VLOOKUP(DT16,Termine!$A:$A,1,FALSE))=TRUE,0,1)</f>
        <v>0</v>
      </c>
      <c r="DY16" s="28" t="str">
        <f>IF(ISNA(VLOOKUP(DT16,Aufenthalte!$A:$B,2,FALSE))=TRUE,"",VLOOKUP(DT16,Aufenthalte!$A:$B,2,FALSE))</f>
        <v>Mama</v>
      </c>
      <c r="DZ16" s="25">
        <f t="shared" si="37"/>
        <v>14</v>
      </c>
      <c r="EA16" s="26">
        <f t="shared" si="38"/>
        <v>43448</v>
      </c>
      <c r="EB16" s="24" t="str">
        <f t="shared" si="39"/>
        <v/>
      </c>
      <c r="EC16" s="54" t="str">
        <f>IF(ISNA(VLOOKUP(DT16,Aufenthalte!$A:$G,7,FALSE))=TRUE,"",VLOOKUP(DT16,Aufenthalte!$A:$G,7,FALSE))</f>
        <v xml:space="preserve">
</v>
      </c>
      <c r="ED16" s="7" t="str">
        <f t="shared" si="70"/>
        <v/>
      </c>
      <c r="EE16" s="27">
        <f>DATE(Konfiguration!$B$2+1,1,$B16)</f>
        <v>43479</v>
      </c>
      <c r="EF16" s="28">
        <f t="shared" si="71"/>
        <v>0</v>
      </c>
      <c r="EG16" s="28">
        <f>IF(ISNA(VLOOKUP(EE16,Ferien!$A:$A,1,FALSE))=TRUE,0,1)</f>
        <v>0</v>
      </c>
      <c r="EH16" s="28">
        <f>IF(ISNA(VLOOKUP(EE16,Feiertage!$A:$A,1,FALSE))=TRUE,0,1)</f>
        <v>0</v>
      </c>
      <c r="EI16" s="28">
        <f>IF(ISNA(VLOOKUP(EE16,Termine!$A:$A,1,FALSE))=TRUE,0,1)</f>
        <v>0</v>
      </c>
      <c r="EJ16" s="28" t="str">
        <f>IF(ISNA(VLOOKUP(EE16,Aufenthalte!$A:$B,2,FALSE))=TRUE,"",VLOOKUP(EE16,Aufenthalte!$A:$B,2,FALSE))</f>
        <v>Mama</v>
      </c>
      <c r="EK16" s="25">
        <f t="shared" si="41"/>
        <v>14</v>
      </c>
      <c r="EL16" s="26">
        <f t="shared" si="42"/>
        <v>43479</v>
      </c>
      <c r="EM16" s="24" t="str">
        <f t="shared" si="43"/>
        <v/>
      </c>
      <c r="EN16" s="54" t="str">
        <f>IF(ISNA(VLOOKUP(EE16,Aufenthalte!$A:$G,7,FALSE))=TRUE,"",VLOOKUP(EE16,Aufenthalte!$A:$G,7,FALSE))</f>
        <v xml:space="preserve">
</v>
      </c>
      <c r="EO16" s="7">
        <f t="shared" si="72"/>
        <v>3</v>
      </c>
    </row>
    <row r="17" spans="2:145" s="1" customFormat="1" ht="21" customHeight="1">
      <c r="B17" s="8">
        <v>15</v>
      </c>
      <c r="C17" s="27">
        <f>DATE(Konfiguration!$B$2,1,$B17)</f>
        <v>43115</v>
      </c>
      <c r="D17" s="28">
        <f t="shared" si="45"/>
        <v>0</v>
      </c>
      <c r="E17" s="28">
        <f>IF(ISNA(VLOOKUP(C17,Ferien!$A:$A,1,FALSE))=TRUE,0,1)</f>
        <v>0</v>
      </c>
      <c r="F17" s="28">
        <f>IF(ISNA(VLOOKUP(C17,Feiertage!$A:$A,1,FALSE))=TRUE,0,1)</f>
        <v>0</v>
      </c>
      <c r="G17" s="28">
        <f>IF(ISNA(VLOOKUP(C17,Termine!$A:$A,1,FALSE))=TRUE,0,1)</f>
        <v>0</v>
      </c>
      <c r="H17" s="28" t="str">
        <f>IF(ISNA(VLOOKUP(C17,Aufenthalte!$A:$B,2,FALSE))=TRUE,"",VLOOKUP(C17,Aufenthalte!$A:$B,2,FALSE))</f>
        <v>Mama</v>
      </c>
      <c r="I17" s="25">
        <f t="shared" si="46"/>
        <v>15</v>
      </c>
      <c r="J17" s="26">
        <f t="shared" si="0"/>
        <v>43115</v>
      </c>
      <c r="K17" s="24" t="str">
        <f t="shared" si="47"/>
        <v/>
      </c>
      <c r="L17" s="54" t="str">
        <f>IF(ISNA(VLOOKUP(C17,Aufenthalte!$A:$G,7,FALSE))=TRUE,"",VLOOKUP(C17,Aufenthalte!$A:$G,7,FALSE))</f>
        <v xml:space="preserve">
</v>
      </c>
      <c r="M17" s="7">
        <f t="shared" si="77"/>
        <v>3</v>
      </c>
      <c r="N17" s="27">
        <f>DATE(Konfiguration!$B$2,2,$B17)</f>
        <v>43146</v>
      </c>
      <c r="O17" s="28">
        <f t="shared" si="48"/>
        <v>0</v>
      </c>
      <c r="P17" s="28">
        <f>IF(ISNA(VLOOKUP(N17,Ferien!$A:$A,1,FALSE))=TRUE,0,1)</f>
        <v>0</v>
      </c>
      <c r="Q17" s="28">
        <f>IF(ISNA(VLOOKUP(N17,Feiertage!$A:$A,1,FALSE))=TRUE,0,1)</f>
        <v>0</v>
      </c>
      <c r="R17" s="28">
        <f>IF(ISNA(VLOOKUP(N17,Termine!$A:$A,1,FALSE))=TRUE,0,1)</f>
        <v>0</v>
      </c>
      <c r="S17" s="28" t="str">
        <f>IF(ISNA(VLOOKUP(N17,Aufenthalte!$A:$B,2,FALSE))=TRUE,"",VLOOKUP(N17,Aufenthalte!$A:$B,2,FALSE))</f>
        <v>Mama</v>
      </c>
      <c r="T17" s="25">
        <f t="shared" si="49"/>
        <v>15</v>
      </c>
      <c r="U17" s="26">
        <f t="shared" si="50"/>
        <v>43146</v>
      </c>
      <c r="V17" s="24" t="str">
        <f t="shared" si="2"/>
        <v/>
      </c>
      <c r="W17" s="54" t="str">
        <f>IF(ISNA(VLOOKUP(N17,Aufenthalte!$A:$G,7,FALSE))=TRUE,"",VLOOKUP(N17,Aufenthalte!$A:$G,7,FALSE))</f>
        <v xml:space="preserve">
</v>
      </c>
      <c r="X17" s="7" t="str">
        <f t="shared" si="51"/>
        <v/>
      </c>
      <c r="Y17" s="27">
        <f>DATE(Konfiguration!$B$2,3,$B17)</f>
        <v>43174</v>
      </c>
      <c r="Z17" s="28">
        <f t="shared" si="73"/>
        <v>0</v>
      </c>
      <c r="AA17" s="28">
        <f>IF(ISNA(VLOOKUP(Y17,Ferien!$A:$A,1,FALSE))=TRUE,0,1)</f>
        <v>0</v>
      </c>
      <c r="AB17" s="28">
        <f>IF(ISNA(VLOOKUP(Y17,Feiertage!$A:$A,1,FALSE))=TRUE,0,1)</f>
        <v>0</v>
      </c>
      <c r="AC17" s="28">
        <f>IF(ISNA(VLOOKUP(Y17,Termine!$A:$A,1,FALSE))=TRUE,0,1)</f>
        <v>0</v>
      </c>
      <c r="AD17" s="28" t="str">
        <f>IF(ISNA(VLOOKUP(Y17,Aufenthalte!$A:$B,2,FALSE))=TRUE,"",VLOOKUP(Y17,Aufenthalte!$A:$B,2,FALSE))</f>
        <v>Mama</v>
      </c>
      <c r="AE17" s="25">
        <f t="shared" si="74"/>
        <v>15</v>
      </c>
      <c r="AF17" s="26">
        <f t="shared" si="75"/>
        <v>43174</v>
      </c>
      <c r="AG17" s="24" t="str">
        <f t="shared" si="76"/>
        <v/>
      </c>
      <c r="AH17" s="54" t="str">
        <f>IF(ISNA(VLOOKUP(Y17,Aufenthalte!$A:$G,7,FALSE))=TRUE,"",VLOOKUP(Y17,Aufenthalte!$A:$G,7,FALSE))</f>
        <v xml:space="preserve">
</v>
      </c>
      <c r="AI17" s="7" t="str">
        <f t="shared" si="52"/>
        <v/>
      </c>
      <c r="AJ17" s="27">
        <f>DATE(Konfiguration!$B$2,4,$B17)</f>
        <v>43205</v>
      </c>
      <c r="AK17" s="28">
        <f t="shared" si="53"/>
        <v>1</v>
      </c>
      <c r="AL17" s="28">
        <f>IF(ISNA(VLOOKUP(AJ17,Ferien!$A:$A,1,FALSE))=TRUE,0,1)</f>
        <v>0</v>
      </c>
      <c r="AM17" s="28">
        <f>IF(ISNA(VLOOKUP(AJ17,Feiertage!$A:$A,1,FALSE))=TRUE,0,1)</f>
        <v>0</v>
      </c>
      <c r="AN17" s="28">
        <f>IF(ISNA(VLOOKUP(AJ17,Termine!$A:$A,1,FALSE))=TRUE,0,1)</f>
        <v>0</v>
      </c>
      <c r="AO17" s="28" t="str">
        <f>IF(ISNA(VLOOKUP(AJ17,Aufenthalte!$A:$B,2,FALSE))=TRUE,"",VLOOKUP(AJ17,Aufenthalte!$A:$B,2,FALSE))</f>
        <v>Mama</v>
      </c>
      <c r="AP17" s="25">
        <f t="shared" si="5"/>
        <v>15</v>
      </c>
      <c r="AQ17" s="26">
        <f t="shared" si="6"/>
        <v>43205</v>
      </c>
      <c r="AR17" s="24" t="str">
        <f t="shared" si="7"/>
        <v/>
      </c>
      <c r="AS17" s="54" t="str">
        <f>IF(ISNA(VLOOKUP(AJ17,Aufenthalte!$A:$G,7,FALSE))=TRUE,"",VLOOKUP(AJ17,Aufenthalte!$A:$G,7,FALSE))</f>
        <v xml:space="preserve">
</v>
      </c>
      <c r="AT17" s="7" t="str">
        <f t="shared" si="54"/>
        <v/>
      </c>
      <c r="AU17" s="27">
        <f>DATE(Konfiguration!$B$2,5,$B17)</f>
        <v>43235</v>
      </c>
      <c r="AV17" s="28">
        <f t="shared" si="55"/>
        <v>0</v>
      </c>
      <c r="AW17" s="28">
        <f>IF(ISNA(VLOOKUP(AU17,Ferien!$A:$A,1,FALSE))=TRUE,0,1)</f>
        <v>0</v>
      </c>
      <c r="AX17" s="28">
        <f>IF(ISNA(VLOOKUP(AU17,Feiertage!$A:$A,1,FALSE))=TRUE,0,1)</f>
        <v>0</v>
      </c>
      <c r="AY17" s="28">
        <f>IF(ISNA(VLOOKUP(AU17,Termine!$A:$A,1,FALSE))=TRUE,0,1)</f>
        <v>0</v>
      </c>
      <c r="AZ17" s="28" t="str">
        <f>IF(ISNA(VLOOKUP(AU17,Aufenthalte!$A:$B,2,FALSE))=TRUE,"",VLOOKUP(AU17,Aufenthalte!$A:$B,2,FALSE))</f>
        <v>Mama</v>
      </c>
      <c r="BA17" s="25">
        <f t="shared" si="9"/>
        <v>15</v>
      </c>
      <c r="BB17" s="26">
        <f t="shared" si="10"/>
        <v>43235</v>
      </c>
      <c r="BC17" s="24" t="str">
        <f t="shared" si="11"/>
        <v/>
      </c>
      <c r="BD17" s="54" t="str">
        <f>IF(ISNA(VLOOKUP(AU17,Aufenthalte!$A:$G,7,FALSE))=TRUE,"",VLOOKUP(AU17,Aufenthalte!$A:$G,7,FALSE))</f>
        <v xml:space="preserve">
</v>
      </c>
      <c r="BE17" s="7" t="str">
        <f t="shared" si="56"/>
        <v/>
      </c>
      <c r="BF17" s="27">
        <f>DATE(Konfiguration!$B$2,6,$B17)</f>
        <v>43266</v>
      </c>
      <c r="BG17" s="28">
        <f t="shared" si="57"/>
        <v>0</v>
      </c>
      <c r="BH17" s="28">
        <f>IF(ISNA(VLOOKUP(BF17,Ferien!$A:$A,1,FALSE))=TRUE,0,1)</f>
        <v>0</v>
      </c>
      <c r="BI17" s="28">
        <f>IF(ISNA(VLOOKUP(BF17,Feiertage!$A:$A,1,FALSE))=TRUE,0,1)</f>
        <v>0</v>
      </c>
      <c r="BJ17" s="28">
        <f>IF(ISNA(VLOOKUP(BF17,Termine!$A:$A,1,FALSE))=TRUE,0,1)</f>
        <v>0</v>
      </c>
      <c r="BK17" s="28" t="str">
        <f>IF(ISNA(VLOOKUP(BF17,Aufenthalte!$A:$B,2,FALSE))=TRUE,"",VLOOKUP(BF17,Aufenthalte!$A:$B,2,FALSE))</f>
        <v>Mama</v>
      </c>
      <c r="BL17" s="25">
        <f t="shared" si="13"/>
        <v>15</v>
      </c>
      <c r="BM17" s="26">
        <f t="shared" si="14"/>
        <v>43266</v>
      </c>
      <c r="BN17" s="24" t="str">
        <f t="shared" si="15"/>
        <v/>
      </c>
      <c r="BO17" s="54" t="str">
        <f>IF(ISNA(VLOOKUP(BF17,Aufenthalte!$A:$G,7,FALSE))=TRUE,"",VLOOKUP(BF17,Aufenthalte!$A:$G,7,FALSE))</f>
        <v xml:space="preserve">
</v>
      </c>
      <c r="BP17" s="7" t="str">
        <f t="shared" si="58"/>
        <v/>
      </c>
      <c r="BQ17" s="27">
        <f>DATE(Konfiguration!$B$2,7,$B17)</f>
        <v>43296</v>
      </c>
      <c r="BR17" s="28">
        <f t="shared" si="59"/>
        <v>1</v>
      </c>
      <c r="BS17" s="28">
        <f>IF(ISNA(VLOOKUP(BQ17,Ferien!$A:$A,1,FALSE))=TRUE,0,1)</f>
        <v>1</v>
      </c>
      <c r="BT17" s="28">
        <f>IF(ISNA(VLOOKUP(BQ17,Feiertage!$A:$A,1,FALSE))=TRUE,0,1)</f>
        <v>0</v>
      </c>
      <c r="BU17" s="28">
        <f>IF(ISNA(VLOOKUP(BQ17,Termine!$A:$A,1,FALSE))=TRUE,0,1)</f>
        <v>0</v>
      </c>
      <c r="BV17" s="28" t="str">
        <f>IF(ISNA(VLOOKUP(BQ17,Aufenthalte!$A:$B,2,FALSE))=TRUE,"",VLOOKUP(BQ17,Aufenthalte!$A:$B,2,FALSE))</f>
        <v>Mama</v>
      </c>
      <c r="BW17" s="25">
        <f t="shared" si="17"/>
        <v>15</v>
      </c>
      <c r="BX17" s="26">
        <f t="shared" si="18"/>
        <v>43296</v>
      </c>
      <c r="BY17" s="24" t="str">
        <f t="shared" si="19"/>
        <v/>
      </c>
      <c r="BZ17" s="54" t="str">
        <f>IF(ISNA(VLOOKUP(BQ17,Aufenthalte!$A:$G,7,FALSE))=TRUE,"",VLOOKUP(BQ17,Aufenthalte!$A:$G,7,FALSE))</f>
        <v xml:space="preserve">
</v>
      </c>
      <c r="CA17" s="7" t="str">
        <f t="shared" si="60"/>
        <v/>
      </c>
      <c r="CB17" s="27">
        <f>DATE(Konfiguration!$B$2,8,$B17)</f>
        <v>43327</v>
      </c>
      <c r="CC17" s="28">
        <f t="shared" si="61"/>
        <v>0</v>
      </c>
      <c r="CD17" s="28">
        <f>IF(ISNA(VLOOKUP(CB17,Ferien!$A:$A,1,FALSE))=TRUE,0,1)</f>
        <v>0</v>
      </c>
      <c r="CE17" s="28">
        <f>IF(ISNA(VLOOKUP(CB17,Feiertage!$A:$A,1,FALSE))=TRUE,0,1)</f>
        <v>0</v>
      </c>
      <c r="CF17" s="28">
        <f>IF(ISNA(VLOOKUP(CB17,Termine!$A:$A,1,FALSE))=TRUE,0,1)</f>
        <v>0</v>
      </c>
      <c r="CG17" s="28" t="str">
        <f>IF(ISNA(VLOOKUP(CB17,Aufenthalte!$A:$B,2,FALSE))=TRUE,"",VLOOKUP(CB17,Aufenthalte!$A:$B,2,FALSE))</f>
        <v>Mama</v>
      </c>
      <c r="CH17" s="25">
        <f t="shared" si="21"/>
        <v>15</v>
      </c>
      <c r="CI17" s="26">
        <f t="shared" si="22"/>
        <v>43327</v>
      </c>
      <c r="CJ17" s="24" t="str">
        <f t="shared" si="23"/>
        <v/>
      </c>
      <c r="CK17" s="54" t="str">
        <f>IF(ISNA(VLOOKUP(CB17,Aufenthalte!$A:$G,7,FALSE))=TRUE,"",VLOOKUP(CB17,Aufenthalte!$A:$G,7,FALSE))</f>
        <v xml:space="preserve">
</v>
      </c>
      <c r="CL17" s="7" t="str">
        <f t="shared" si="62"/>
        <v/>
      </c>
      <c r="CM17" s="27">
        <f>DATE(Konfiguration!$B$2,9,$B17)</f>
        <v>43358</v>
      </c>
      <c r="CN17" s="28">
        <f t="shared" si="63"/>
        <v>1</v>
      </c>
      <c r="CO17" s="28">
        <f>IF(ISNA(VLOOKUP(CM17,Ferien!$A:$A,1,FALSE))=TRUE,0,1)</f>
        <v>0</v>
      </c>
      <c r="CP17" s="28">
        <f>IF(ISNA(VLOOKUP(CM17,Feiertage!$A:$A,1,FALSE))=TRUE,0,1)</f>
        <v>0</v>
      </c>
      <c r="CQ17" s="28">
        <f>IF(ISNA(VLOOKUP(CM17,Termine!$A:$A,1,FALSE))=TRUE,0,1)</f>
        <v>0</v>
      </c>
      <c r="CR17" s="28" t="str">
        <f>IF(ISNA(VLOOKUP(CM17,Aufenthalte!$A:$B,2,FALSE))=TRUE,"",VLOOKUP(CM17,Aufenthalte!$A:$B,2,FALSE))</f>
        <v>Mama</v>
      </c>
      <c r="CS17" s="25">
        <f t="shared" si="25"/>
        <v>15</v>
      </c>
      <c r="CT17" s="26">
        <f t="shared" si="26"/>
        <v>43358</v>
      </c>
      <c r="CU17" s="24" t="str">
        <f t="shared" si="27"/>
        <v/>
      </c>
      <c r="CV17" s="54" t="str">
        <f>IF(ISNA(VLOOKUP(CM17,Aufenthalte!$A:$G,7,FALSE))=TRUE,"",VLOOKUP(CM17,Aufenthalte!$A:$G,7,FALSE))</f>
        <v xml:space="preserve">
</v>
      </c>
      <c r="CW17" s="7" t="str">
        <f t="shared" si="64"/>
        <v/>
      </c>
      <c r="CX17" s="27">
        <f>DATE(Konfiguration!$B$2,10,$B17)</f>
        <v>43388</v>
      </c>
      <c r="CY17" s="28">
        <f t="shared" si="65"/>
        <v>0</v>
      </c>
      <c r="CZ17" s="28">
        <f>IF(ISNA(VLOOKUP(CX17,Ferien!$A:$A,1,FALSE))=TRUE,0,1)</f>
        <v>0</v>
      </c>
      <c r="DA17" s="28">
        <f>IF(ISNA(VLOOKUP(CX17,Feiertage!$A:$A,1,FALSE))=TRUE,0,1)</f>
        <v>0</v>
      </c>
      <c r="DB17" s="28">
        <f>IF(ISNA(VLOOKUP(CX17,Termine!$A:$A,1,FALSE))=TRUE,0,1)</f>
        <v>0</v>
      </c>
      <c r="DC17" s="28" t="str">
        <f>IF(ISNA(VLOOKUP(CX17,Aufenthalte!$A:$B,2,FALSE))=TRUE,"",VLOOKUP(CX17,Aufenthalte!$A:$B,2,FALSE))</f>
        <v>Mama</v>
      </c>
      <c r="DD17" s="25">
        <f t="shared" si="29"/>
        <v>15</v>
      </c>
      <c r="DE17" s="26">
        <f t="shared" si="30"/>
        <v>43388</v>
      </c>
      <c r="DF17" s="24" t="str">
        <f t="shared" si="31"/>
        <v/>
      </c>
      <c r="DG17" s="54" t="str">
        <f>IF(ISNA(VLOOKUP(CX17,Aufenthalte!$A:$G,7,FALSE))=TRUE,"",VLOOKUP(CX17,Aufenthalte!$A:$G,7,FALSE))</f>
        <v xml:space="preserve">
</v>
      </c>
      <c r="DH17" s="7">
        <f t="shared" si="66"/>
        <v>42</v>
      </c>
      <c r="DI17" s="27">
        <f>DATE(Konfiguration!$B$2,11,$B17)</f>
        <v>43419</v>
      </c>
      <c r="DJ17" s="28">
        <f t="shared" si="67"/>
        <v>0</v>
      </c>
      <c r="DK17" s="28">
        <f>IF(ISNA(VLOOKUP(DI17,Ferien!$A:$A,1,FALSE))=TRUE,0,1)</f>
        <v>0</v>
      </c>
      <c r="DL17" s="28">
        <f>IF(ISNA(VLOOKUP(DI17,Feiertage!$A:$A,1,FALSE))=TRUE,0,1)</f>
        <v>0</v>
      </c>
      <c r="DM17" s="28">
        <f>IF(ISNA(VLOOKUP(DI17,Termine!$A:$A,1,FALSE))=TRUE,0,1)</f>
        <v>0</v>
      </c>
      <c r="DN17" s="28" t="str">
        <f>IF(ISNA(VLOOKUP(DI17,Aufenthalte!$A:$B,2,FALSE))=TRUE,"",VLOOKUP(DI17,Aufenthalte!$A:$B,2,FALSE))</f>
        <v>Mama</v>
      </c>
      <c r="DO17" s="25">
        <f t="shared" si="33"/>
        <v>15</v>
      </c>
      <c r="DP17" s="26">
        <f t="shared" si="34"/>
        <v>43419</v>
      </c>
      <c r="DQ17" s="24" t="str">
        <f t="shared" si="35"/>
        <v/>
      </c>
      <c r="DR17" s="54" t="str">
        <f>IF(ISNA(VLOOKUP(DI17,Aufenthalte!$A:$G,7,FALSE))=TRUE,"",VLOOKUP(DI17,Aufenthalte!$A:$G,7,FALSE))</f>
        <v xml:space="preserve">
</v>
      </c>
      <c r="DS17" s="7" t="str">
        <f t="shared" si="68"/>
        <v/>
      </c>
      <c r="DT17" s="27">
        <f>DATE(Konfiguration!$B$2,12,$B17)</f>
        <v>43449</v>
      </c>
      <c r="DU17" s="28">
        <f t="shared" si="69"/>
        <v>1</v>
      </c>
      <c r="DV17" s="28">
        <f>IF(ISNA(VLOOKUP(DT17,Ferien!$A:$A,1,FALSE))=TRUE,0,1)</f>
        <v>0</v>
      </c>
      <c r="DW17" s="28">
        <f>IF(ISNA(VLOOKUP(DT17,Feiertage!$A:$A,1,FALSE))=TRUE,0,1)</f>
        <v>0</v>
      </c>
      <c r="DX17" s="28">
        <f>IF(ISNA(VLOOKUP(DT17,Termine!$A:$A,1,FALSE))=TRUE,0,1)</f>
        <v>0</v>
      </c>
      <c r="DY17" s="28" t="str">
        <f>IF(ISNA(VLOOKUP(DT17,Aufenthalte!$A:$B,2,FALSE))=TRUE,"",VLOOKUP(DT17,Aufenthalte!$A:$B,2,FALSE))</f>
        <v>Mama</v>
      </c>
      <c r="DZ17" s="25">
        <f t="shared" si="37"/>
        <v>15</v>
      </c>
      <c r="EA17" s="26">
        <f t="shared" si="38"/>
        <v>43449</v>
      </c>
      <c r="EB17" s="24" t="str">
        <f t="shared" si="39"/>
        <v/>
      </c>
      <c r="EC17" s="54" t="str">
        <f>IF(ISNA(VLOOKUP(DT17,Aufenthalte!$A:$G,7,FALSE))=TRUE,"",VLOOKUP(DT17,Aufenthalte!$A:$G,7,FALSE))</f>
        <v xml:space="preserve">
</v>
      </c>
      <c r="ED17" s="7" t="str">
        <f t="shared" si="70"/>
        <v/>
      </c>
      <c r="EE17" s="27">
        <f>DATE(Konfiguration!$B$2+1,1,$B17)</f>
        <v>43480</v>
      </c>
      <c r="EF17" s="28">
        <f t="shared" si="71"/>
        <v>0</v>
      </c>
      <c r="EG17" s="28">
        <f>IF(ISNA(VLOOKUP(EE17,Ferien!$A:$A,1,FALSE))=TRUE,0,1)</f>
        <v>0</v>
      </c>
      <c r="EH17" s="28">
        <f>IF(ISNA(VLOOKUP(EE17,Feiertage!$A:$A,1,FALSE))=TRUE,0,1)</f>
        <v>0</v>
      </c>
      <c r="EI17" s="28">
        <f>IF(ISNA(VLOOKUP(EE17,Termine!$A:$A,1,FALSE))=TRUE,0,1)</f>
        <v>0</v>
      </c>
      <c r="EJ17" s="28" t="str">
        <f>IF(ISNA(VLOOKUP(EE17,Aufenthalte!$A:$B,2,FALSE))=TRUE,"",VLOOKUP(EE17,Aufenthalte!$A:$B,2,FALSE))</f>
        <v>Mama</v>
      </c>
      <c r="EK17" s="25">
        <f t="shared" si="41"/>
        <v>15</v>
      </c>
      <c r="EL17" s="26">
        <f t="shared" si="42"/>
        <v>43480</v>
      </c>
      <c r="EM17" s="24" t="str">
        <f t="shared" si="43"/>
        <v/>
      </c>
      <c r="EN17" s="54" t="str">
        <f>IF(ISNA(VLOOKUP(EE17,Aufenthalte!$A:$G,7,FALSE))=TRUE,"",VLOOKUP(EE17,Aufenthalte!$A:$G,7,FALSE))</f>
        <v xml:space="preserve">
</v>
      </c>
      <c r="EO17" s="7" t="str">
        <f t="shared" si="72"/>
        <v/>
      </c>
    </row>
    <row r="18" spans="2:145" s="1" customFormat="1" ht="21" customHeight="1">
      <c r="B18" s="8">
        <v>16</v>
      </c>
      <c r="C18" s="27">
        <f>DATE(Konfiguration!$B$2,1,$B18)</f>
        <v>43116</v>
      </c>
      <c r="D18" s="28">
        <f t="shared" si="45"/>
        <v>0</v>
      </c>
      <c r="E18" s="28">
        <f>IF(ISNA(VLOOKUP(C18,Ferien!$A:$A,1,FALSE))=TRUE,0,1)</f>
        <v>0</v>
      </c>
      <c r="F18" s="28">
        <f>IF(ISNA(VLOOKUP(C18,Feiertage!$A:$A,1,FALSE))=TRUE,0,1)</f>
        <v>0</v>
      </c>
      <c r="G18" s="28">
        <f>IF(ISNA(VLOOKUP(C18,Termine!$A:$A,1,FALSE))=TRUE,0,1)</f>
        <v>0</v>
      </c>
      <c r="H18" s="28" t="str">
        <f>IF(ISNA(VLOOKUP(C18,Aufenthalte!$A:$B,2,FALSE))=TRUE,"",VLOOKUP(C18,Aufenthalte!$A:$B,2,FALSE))</f>
        <v>Mama</v>
      </c>
      <c r="I18" s="25">
        <f t="shared" si="46"/>
        <v>16</v>
      </c>
      <c r="J18" s="26">
        <f t="shared" si="0"/>
        <v>43116</v>
      </c>
      <c r="K18" s="24" t="str">
        <f t="shared" si="47"/>
        <v/>
      </c>
      <c r="L18" s="54" t="str">
        <f>IF(ISNA(VLOOKUP(C18,Aufenthalte!$A:$G,7,FALSE))=TRUE,"",VLOOKUP(C18,Aufenthalte!$A:$G,7,FALSE))</f>
        <v xml:space="preserve">
</v>
      </c>
      <c r="M18" s="7" t="str">
        <f t="shared" si="77"/>
        <v/>
      </c>
      <c r="N18" s="27">
        <f>DATE(Konfiguration!$B$2,2,$B18)</f>
        <v>43147</v>
      </c>
      <c r="O18" s="28">
        <f t="shared" si="48"/>
        <v>0</v>
      </c>
      <c r="P18" s="28">
        <f>IF(ISNA(VLOOKUP(N18,Ferien!$A:$A,1,FALSE))=TRUE,0,1)</f>
        <v>0</v>
      </c>
      <c r="Q18" s="28">
        <f>IF(ISNA(VLOOKUP(N18,Feiertage!$A:$A,1,FALSE))=TRUE,0,1)</f>
        <v>0</v>
      </c>
      <c r="R18" s="28">
        <f>IF(ISNA(VLOOKUP(N18,Termine!$A:$A,1,FALSE))=TRUE,0,1)</f>
        <v>0</v>
      </c>
      <c r="S18" s="28" t="str">
        <f>IF(ISNA(VLOOKUP(N18,Aufenthalte!$A:$B,2,FALSE))=TRUE,"",VLOOKUP(N18,Aufenthalte!$A:$B,2,FALSE))</f>
        <v>Mama</v>
      </c>
      <c r="T18" s="25">
        <f t="shared" si="49"/>
        <v>16</v>
      </c>
      <c r="U18" s="26">
        <f t="shared" si="50"/>
        <v>43147</v>
      </c>
      <c r="V18" s="24" t="str">
        <f t="shared" si="2"/>
        <v/>
      </c>
      <c r="W18" s="54" t="str">
        <f>IF(ISNA(VLOOKUP(N18,Aufenthalte!$A:$G,7,FALSE))=TRUE,"",VLOOKUP(N18,Aufenthalte!$A:$G,7,FALSE))</f>
        <v xml:space="preserve">
</v>
      </c>
      <c r="X18" s="7" t="str">
        <f t="shared" si="51"/>
        <v/>
      </c>
      <c r="Y18" s="27">
        <f>DATE(Konfiguration!$B$2,3,$B18)</f>
        <v>43175</v>
      </c>
      <c r="Z18" s="28">
        <f t="shared" si="73"/>
        <v>0</v>
      </c>
      <c r="AA18" s="28">
        <f>IF(ISNA(VLOOKUP(Y18,Ferien!$A:$A,1,FALSE))=TRUE,0,1)</f>
        <v>0</v>
      </c>
      <c r="AB18" s="28">
        <f>IF(ISNA(VLOOKUP(Y18,Feiertage!$A:$A,1,FALSE))=TRUE,0,1)</f>
        <v>0</v>
      </c>
      <c r="AC18" s="28">
        <f>IF(ISNA(VLOOKUP(Y18,Termine!$A:$A,1,FALSE))=TRUE,0,1)</f>
        <v>0</v>
      </c>
      <c r="AD18" s="28" t="str">
        <f>IF(ISNA(VLOOKUP(Y18,Aufenthalte!$A:$B,2,FALSE))=TRUE,"",VLOOKUP(Y18,Aufenthalte!$A:$B,2,FALSE))</f>
        <v>Mama</v>
      </c>
      <c r="AE18" s="25">
        <f t="shared" si="74"/>
        <v>16</v>
      </c>
      <c r="AF18" s="26">
        <f t="shared" si="75"/>
        <v>43175</v>
      </c>
      <c r="AG18" s="24" t="str">
        <f t="shared" si="76"/>
        <v/>
      </c>
      <c r="AH18" s="54" t="str">
        <f>IF(ISNA(VLOOKUP(Y18,Aufenthalte!$A:$G,7,FALSE))=TRUE,"",VLOOKUP(Y18,Aufenthalte!$A:$G,7,FALSE))</f>
        <v xml:space="preserve">
</v>
      </c>
      <c r="AI18" s="7" t="str">
        <f t="shared" si="52"/>
        <v/>
      </c>
      <c r="AJ18" s="27">
        <f>DATE(Konfiguration!$B$2,4,$B18)</f>
        <v>43206</v>
      </c>
      <c r="AK18" s="28">
        <f t="shared" si="53"/>
        <v>0</v>
      </c>
      <c r="AL18" s="28">
        <f>IF(ISNA(VLOOKUP(AJ18,Ferien!$A:$A,1,FALSE))=TRUE,0,1)</f>
        <v>0</v>
      </c>
      <c r="AM18" s="28">
        <f>IF(ISNA(VLOOKUP(AJ18,Feiertage!$A:$A,1,FALSE))=TRUE,0,1)</f>
        <v>0</v>
      </c>
      <c r="AN18" s="28">
        <f>IF(ISNA(VLOOKUP(AJ18,Termine!$A:$A,1,FALSE))=TRUE,0,1)</f>
        <v>0</v>
      </c>
      <c r="AO18" s="28" t="str">
        <f>IF(ISNA(VLOOKUP(AJ18,Aufenthalte!$A:$B,2,FALSE))=TRUE,"",VLOOKUP(AJ18,Aufenthalte!$A:$B,2,FALSE))</f>
        <v>Mama</v>
      </c>
      <c r="AP18" s="25">
        <f t="shared" si="5"/>
        <v>16</v>
      </c>
      <c r="AQ18" s="26">
        <f t="shared" si="6"/>
        <v>43206</v>
      </c>
      <c r="AR18" s="24" t="str">
        <f t="shared" si="7"/>
        <v/>
      </c>
      <c r="AS18" s="54" t="str">
        <f>IF(ISNA(VLOOKUP(AJ18,Aufenthalte!$A:$G,7,FALSE))=TRUE,"",VLOOKUP(AJ18,Aufenthalte!$A:$G,7,FALSE))</f>
        <v xml:space="preserve">
</v>
      </c>
      <c r="AT18" s="7">
        <f t="shared" si="54"/>
        <v>16</v>
      </c>
      <c r="AU18" s="27">
        <f>DATE(Konfiguration!$B$2,5,$B18)</f>
        <v>43236</v>
      </c>
      <c r="AV18" s="28">
        <f t="shared" si="55"/>
        <v>0</v>
      </c>
      <c r="AW18" s="28">
        <f>IF(ISNA(VLOOKUP(AU18,Ferien!$A:$A,1,FALSE))=TRUE,0,1)</f>
        <v>0</v>
      </c>
      <c r="AX18" s="28">
        <f>IF(ISNA(VLOOKUP(AU18,Feiertage!$A:$A,1,FALSE))=TRUE,0,1)</f>
        <v>0</v>
      </c>
      <c r="AY18" s="28">
        <f>IF(ISNA(VLOOKUP(AU18,Termine!$A:$A,1,FALSE))=TRUE,0,1)</f>
        <v>0</v>
      </c>
      <c r="AZ18" s="28" t="str">
        <f>IF(ISNA(VLOOKUP(AU18,Aufenthalte!$A:$B,2,FALSE))=TRUE,"",VLOOKUP(AU18,Aufenthalte!$A:$B,2,FALSE))</f>
        <v>Mama</v>
      </c>
      <c r="BA18" s="25">
        <f t="shared" si="9"/>
        <v>16</v>
      </c>
      <c r="BB18" s="26">
        <f t="shared" si="10"/>
        <v>43236</v>
      </c>
      <c r="BC18" s="24" t="str">
        <f t="shared" si="11"/>
        <v/>
      </c>
      <c r="BD18" s="54" t="str">
        <f>IF(ISNA(VLOOKUP(AU18,Aufenthalte!$A:$G,7,FALSE))=TRUE,"",VLOOKUP(AU18,Aufenthalte!$A:$G,7,FALSE))</f>
        <v xml:space="preserve">
</v>
      </c>
      <c r="BE18" s="7" t="str">
        <f t="shared" si="56"/>
        <v/>
      </c>
      <c r="BF18" s="27">
        <f>DATE(Konfiguration!$B$2,6,$B18)</f>
        <v>43267</v>
      </c>
      <c r="BG18" s="28">
        <f t="shared" si="57"/>
        <v>1</v>
      </c>
      <c r="BH18" s="28">
        <f>IF(ISNA(VLOOKUP(BF18,Ferien!$A:$A,1,FALSE))=TRUE,0,1)</f>
        <v>0</v>
      </c>
      <c r="BI18" s="28">
        <f>IF(ISNA(VLOOKUP(BF18,Feiertage!$A:$A,1,FALSE))=TRUE,0,1)</f>
        <v>0</v>
      </c>
      <c r="BJ18" s="28">
        <f>IF(ISNA(VLOOKUP(BF18,Termine!$A:$A,1,FALSE))=TRUE,0,1)</f>
        <v>0</v>
      </c>
      <c r="BK18" s="28" t="str">
        <f>IF(ISNA(VLOOKUP(BF18,Aufenthalte!$A:$B,2,FALSE))=TRUE,"",VLOOKUP(BF18,Aufenthalte!$A:$B,2,FALSE))</f>
        <v>Mama</v>
      </c>
      <c r="BL18" s="25">
        <f t="shared" si="13"/>
        <v>16</v>
      </c>
      <c r="BM18" s="26">
        <f t="shared" si="14"/>
        <v>43267</v>
      </c>
      <c r="BN18" s="24" t="str">
        <f t="shared" si="15"/>
        <v/>
      </c>
      <c r="BO18" s="54" t="str">
        <f>IF(ISNA(VLOOKUP(BF18,Aufenthalte!$A:$G,7,FALSE))=TRUE,"",VLOOKUP(BF18,Aufenthalte!$A:$G,7,FALSE))</f>
        <v xml:space="preserve">
</v>
      </c>
      <c r="BP18" s="7" t="str">
        <f t="shared" si="58"/>
        <v/>
      </c>
      <c r="BQ18" s="27">
        <f>DATE(Konfiguration!$B$2,7,$B18)</f>
        <v>43297</v>
      </c>
      <c r="BR18" s="28">
        <f t="shared" si="59"/>
        <v>0</v>
      </c>
      <c r="BS18" s="28">
        <f>IF(ISNA(VLOOKUP(BQ18,Ferien!$A:$A,1,FALSE))=TRUE,0,1)</f>
        <v>1</v>
      </c>
      <c r="BT18" s="28">
        <f>IF(ISNA(VLOOKUP(BQ18,Feiertage!$A:$A,1,FALSE))=TRUE,0,1)</f>
        <v>0</v>
      </c>
      <c r="BU18" s="28">
        <f>IF(ISNA(VLOOKUP(BQ18,Termine!$A:$A,1,FALSE))=TRUE,0,1)</f>
        <v>0</v>
      </c>
      <c r="BV18" s="28" t="str">
        <f>IF(ISNA(VLOOKUP(BQ18,Aufenthalte!$A:$B,2,FALSE))=TRUE,"",VLOOKUP(BQ18,Aufenthalte!$A:$B,2,FALSE))</f>
        <v>Mama</v>
      </c>
      <c r="BW18" s="25">
        <f t="shared" si="17"/>
        <v>16</v>
      </c>
      <c r="BX18" s="26">
        <f t="shared" si="18"/>
        <v>43297</v>
      </c>
      <c r="BY18" s="24" t="str">
        <f t="shared" si="19"/>
        <v/>
      </c>
      <c r="BZ18" s="54" t="str">
        <f>IF(ISNA(VLOOKUP(BQ18,Aufenthalte!$A:$G,7,FALSE))=TRUE,"",VLOOKUP(BQ18,Aufenthalte!$A:$G,7,FALSE))</f>
        <v xml:space="preserve">
</v>
      </c>
      <c r="CA18" s="7">
        <f t="shared" si="60"/>
        <v>29</v>
      </c>
      <c r="CB18" s="27">
        <f>DATE(Konfiguration!$B$2,8,$B18)</f>
        <v>43328</v>
      </c>
      <c r="CC18" s="28">
        <f t="shared" si="61"/>
        <v>0</v>
      </c>
      <c r="CD18" s="28">
        <f>IF(ISNA(VLOOKUP(CB18,Ferien!$A:$A,1,FALSE))=TRUE,0,1)</f>
        <v>0</v>
      </c>
      <c r="CE18" s="28">
        <f>IF(ISNA(VLOOKUP(CB18,Feiertage!$A:$A,1,FALSE))=TRUE,0,1)</f>
        <v>0</v>
      </c>
      <c r="CF18" s="28">
        <f>IF(ISNA(VLOOKUP(CB18,Termine!$A:$A,1,FALSE))=TRUE,0,1)</f>
        <v>0</v>
      </c>
      <c r="CG18" s="28" t="str">
        <f>IF(ISNA(VLOOKUP(CB18,Aufenthalte!$A:$B,2,FALSE))=TRUE,"",VLOOKUP(CB18,Aufenthalte!$A:$B,2,FALSE))</f>
        <v>Mama</v>
      </c>
      <c r="CH18" s="25">
        <f t="shared" si="21"/>
        <v>16</v>
      </c>
      <c r="CI18" s="26">
        <f t="shared" si="22"/>
        <v>43328</v>
      </c>
      <c r="CJ18" s="24" t="str">
        <f t="shared" si="23"/>
        <v/>
      </c>
      <c r="CK18" s="54" t="str">
        <f>IF(ISNA(VLOOKUP(CB18,Aufenthalte!$A:$G,7,FALSE))=TRUE,"",VLOOKUP(CB18,Aufenthalte!$A:$G,7,FALSE))</f>
        <v xml:space="preserve">
</v>
      </c>
      <c r="CL18" s="7" t="str">
        <f t="shared" si="62"/>
        <v/>
      </c>
      <c r="CM18" s="27">
        <f>DATE(Konfiguration!$B$2,9,$B18)</f>
        <v>43359</v>
      </c>
      <c r="CN18" s="28">
        <f t="shared" si="63"/>
        <v>1</v>
      </c>
      <c r="CO18" s="28">
        <f>IF(ISNA(VLOOKUP(CM18,Ferien!$A:$A,1,FALSE))=TRUE,0,1)</f>
        <v>0</v>
      </c>
      <c r="CP18" s="28">
        <f>IF(ISNA(VLOOKUP(CM18,Feiertage!$A:$A,1,FALSE))=TRUE,0,1)</f>
        <v>0</v>
      </c>
      <c r="CQ18" s="28">
        <f>IF(ISNA(VLOOKUP(CM18,Termine!$A:$A,1,FALSE))=TRUE,0,1)</f>
        <v>0</v>
      </c>
      <c r="CR18" s="28" t="str">
        <f>IF(ISNA(VLOOKUP(CM18,Aufenthalte!$A:$B,2,FALSE))=TRUE,"",VLOOKUP(CM18,Aufenthalte!$A:$B,2,FALSE))</f>
        <v>Mama</v>
      </c>
      <c r="CS18" s="25">
        <f t="shared" si="25"/>
        <v>16</v>
      </c>
      <c r="CT18" s="26">
        <f t="shared" si="26"/>
        <v>43359</v>
      </c>
      <c r="CU18" s="24" t="str">
        <f t="shared" si="27"/>
        <v/>
      </c>
      <c r="CV18" s="54" t="str">
        <f>IF(ISNA(VLOOKUP(CM18,Aufenthalte!$A:$G,7,FALSE))=TRUE,"",VLOOKUP(CM18,Aufenthalte!$A:$G,7,FALSE))</f>
        <v xml:space="preserve">
</v>
      </c>
      <c r="CW18" s="7" t="str">
        <f t="shared" si="64"/>
        <v/>
      </c>
      <c r="CX18" s="27">
        <f>DATE(Konfiguration!$B$2,10,$B18)</f>
        <v>43389</v>
      </c>
      <c r="CY18" s="28">
        <f t="shared" si="65"/>
        <v>0</v>
      </c>
      <c r="CZ18" s="28">
        <f>IF(ISNA(VLOOKUP(CX18,Ferien!$A:$A,1,FALSE))=TRUE,0,1)</f>
        <v>0</v>
      </c>
      <c r="DA18" s="28">
        <f>IF(ISNA(VLOOKUP(CX18,Feiertage!$A:$A,1,FALSE))=TRUE,0,1)</f>
        <v>0</v>
      </c>
      <c r="DB18" s="28">
        <f>IF(ISNA(VLOOKUP(CX18,Termine!$A:$A,1,FALSE))=TRUE,0,1)</f>
        <v>0</v>
      </c>
      <c r="DC18" s="28" t="str">
        <f>IF(ISNA(VLOOKUP(CX18,Aufenthalte!$A:$B,2,FALSE))=TRUE,"",VLOOKUP(CX18,Aufenthalte!$A:$B,2,FALSE))</f>
        <v>Mama</v>
      </c>
      <c r="DD18" s="25">
        <f t="shared" si="29"/>
        <v>16</v>
      </c>
      <c r="DE18" s="26">
        <f t="shared" si="30"/>
        <v>43389</v>
      </c>
      <c r="DF18" s="24" t="str">
        <f t="shared" si="31"/>
        <v/>
      </c>
      <c r="DG18" s="54" t="str">
        <f>IF(ISNA(VLOOKUP(CX18,Aufenthalte!$A:$G,7,FALSE))=TRUE,"",VLOOKUP(CX18,Aufenthalte!$A:$G,7,FALSE))</f>
        <v xml:space="preserve">
</v>
      </c>
      <c r="DH18" s="7" t="str">
        <f t="shared" si="66"/>
        <v/>
      </c>
      <c r="DI18" s="27">
        <f>DATE(Konfiguration!$B$2,11,$B18)</f>
        <v>43420</v>
      </c>
      <c r="DJ18" s="28">
        <f t="shared" si="67"/>
        <v>0</v>
      </c>
      <c r="DK18" s="28">
        <f>IF(ISNA(VLOOKUP(DI18,Ferien!$A:$A,1,FALSE))=TRUE,0,1)</f>
        <v>0</v>
      </c>
      <c r="DL18" s="28">
        <f>IF(ISNA(VLOOKUP(DI18,Feiertage!$A:$A,1,FALSE))=TRUE,0,1)</f>
        <v>0</v>
      </c>
      <c r="DM18" s="28">
        <f>IF(ISNA(VLOOKUP(DI18,Termine!$A:$A,1,FALSE))=TRUE,0,1)</f>
        <v>0</v>
      </c>
      <c r="DN18" s="28" t="str">
        <f>IF(ISNA(VLOOKUP(DI18,Aufenthalte!$A:$B,2,FALSE))=TRUE,"",VLOOKUP(DI18,Aufenthalte!$A:$B,2,FALSE))</f>
        <v>Mama</v>
      </c>
      <c r="DO18" s="25">
        <f t="shared" si="33"/>
        <v>16</v>
      </c>
      <c r="DP18" s="26">
        <f t="shared" si="34"/>
        <v>43420</v>
      </c>
      <c r="DQ18" s="24" t="str">
        <f t="shared" si="35"/>
        <v/>
      </c>
      <c r="DR18" s="54" t="str">
        <f>IF(ISNA(VLOOKUP(DI18,Aufenthalte!$A:$G,7,FALSE))=TRUE,"",VLOOKUP(DI18,Aufenthalte!$A:$G,7,FALSE))</f>
        <v xml:space="preserve">
</v>
      </c>
      <c r="DS18" s="7" t="str">
        <f t="shared" si="68"/>
        <v/>
      </c>
      <c r="DT18" s="27">
        <f>DATE(Konfiguration!$B$2,12,$B18)</f>
        <v>43450</v>
      </c>
      <c r="DU18" s="28">
        <f t="shared" si="69"/>
        <v>1</v>
      </c>
      <c r="DV18" s="28">
        <f>IF(ISNA(VLOOKUP(DT18,Ferien!$A:$A,1,FALSE))=TRUE,0,1)</f>
        <v>0</v>
      </c>
      <c r="DW18" s="28">
        <f>IF(ISNA(VLOOKUP(DT18,Feiertage!$A:$A,1,FALSE))=TRUE,0,1)</f>
        <v>0</v>
      </c>
      <c r="DX18" s="28">
        <f>IF(ISNA(VLOOKUP(DT18,Termine!$A:$A,1,FALSE))=TRUE,0,1)</f>
        <v>0</v>
      </c>
      <c r="DY18" s="28" t="str">
        <f>IF(ISNA(VLOOKUP(DT18,Aufenthalte!$A:$B,2,FALSE))=TRUE,"",VLOOKUP(DT18,Aufenthalte!$A:$B,2,FALSE))</f>
        <v>Mama</v>
      </c>
      <c r="DZ18" s="25">
        <f t="shared" si="37"/>
        <v>16</v>
      </c>
      <c r="EA18" s="26">
        <f t="shared" si="38"/>
        <v>43450</v>
      </c>
      <c r="EB18" s="24" t="str">
        <f t="shared" si="39"/>
        <v/>
      </c>
      <c r="EC18" s="54" t="str">
        <f>IF(ISNA(VLOOKUP(DT18,Aufenthalte!$A:$G,7,FALSE))=TRUE,"",VLOOKUP(DT18,Aufenthalte!$A:$G,7,FALSE))</f>
        <v xml:space="preserve">
</v>
      </c>
      <c r="ED18" s="7" t="str">
        <f t="shared" si="70"/>
        <v/>
      </c>
      <c r="EE18" s="15" t="s">
        <v>18</v>
      </c>
      <c r="EF18" s="47"/>
      <c r="EG18" s="47"/>
      <c r="EH18" s="47"/>
      <c r="EI18" s="47"/>
      <c r="EJ18" s="47"/>
      <c r="EK18" s="47" t="s">
        <v>18</v>
      </c>
      <c r="EL18" s="47"/>
      <c r="EM18" s="9"/>
      <c r="EN18" s="122"/>
      <c r="EO18" s="123"/>
    </row>
    <row r="19" spans="2:145" s="1" customFormat="1" ht="21" customHeight="1">
      <c r="B19" s="8">
        <v>17</v>
      </c>
      <c r="C19" s="27">
        <f>DATE(Konfiguration!$B$2,1,$B19)</f>
        <v>43117</v>
      </c>
      <c r="D19" s="28">
        <f t="shared" si="45"/>
        <v>0</v>
      </c>
      <c r="E19" s="28">
        <f>IF(ISNA(VLOOKUP(C19,Ferien!$A:$A,1,FALSE))=TRUE,0,1)</f>
        <v>0</v>
      </c>
      <c r="F19" s="28">
        <f>IF(ISNA(VLOOKUP(C19,Feiertage!$A:$A,1,FALSE))=TRUE,0,1)</f>
        <v>0</v>
      </c>
      <c r="G19" s="28">
        <f>IF(ISNA(VLOOKUP(C19,Termine!$A:$A,1,FALSE))=TRUE,0,1)</f>
        <v>0</v>
      </c>
      <c r="H19" s="28" t="str">
        <f>IF(ISNA(VLOOKUP(C19,Aufenthalte!$A:$B,2,FALSE))=TRUE,"",VLOOKUP(C19,Aufenthalte!$A:$B,2,FALSE))</f>
        <v>Mama</v>
      </c>
      <c r="I19" s="25">
        <f t="shared" si="46"/>
        <v>17</v>
      </c>
      <c r="J19" s="26">
        <f t="shared" si="0"/>
        <v>43117</v>
      </c>
      <c r="K19" s="24" t="str">
        <f t="shared" si="47"/>
        <v/>
      </c>
      <c r="L19" s="54" t="str">
        <f>IF(ISNA(VLOOKUP(C19,Aufenthalte!$A:$G,7,FALSE))=TRUE,"",VLOOKUP(C19,Aufenthalte!$A:$G,7,FALSE))</f>
        <v xml:space="preserve">
</v>
      </c>
      <c r="M19" s="7" t="str">
        <f t="shared" si="77"/>
        <v/>
      </c>
      <c r="N19" s="27">
        <f>DATE(Konfiguration!$B$2,2,$B19)</f>
        <v>43148</v>
      </c>
      <c r="O19" s="28">
        <f t="shared" si="48"/>
        <v>1</v>
      </c>
      <c r="P19" s="28">
        <f>IF(ISNA(VLOOKUP(N19,Ferien!$A:$A,1,FALSE))=TRUE,0,1)</f>
        <v>0</v>
      </c>
      <c r="Q19" s="28">
        <f>IF(ISNA(VLOOKUP(N19,Feiertage!$A:$A,1,FALSE))=TRUE,0,1)</f>
        <v>0</v>
      </c>
      <c r="R19" s="28">
        <f>IF(ISNA(VLOOKUP(N19,Termine!$A:$A,1,FALSE))=TRUE,0,1)</f>
        <v>0</v>
      </c>
      <c r="S19" s="28" t="str">
        <f>IF(ISNA(VLOOKUP(N19,Aufenthalte!$A:$B,2,FALSE))=TRUE,"",VLOOKUP(N19,Aufenthalte!$A:$B,2,FALSE))</f>
        <v>Mama</v>
      </c>
      <c r="T19" s="25">
        <f t="shared" si="49"/>
        <v>17</v>
      </c>
      <c r="U19" s="26">
        <f t="shared" si="50"/>
        <v>43148</v>
      </c>
      <c r="V19" s="24" t="str">
        <f t="shared" si="2"/>
        <v/>
      </c>
      <c r="W19" s="54" t="str">
        <f>IF(ISNA(VLOOKUP(N19,Aufenthalte!$A:$G,7,FALSE))=TRUE,"",VLOOKUP(N19,Aufenthalte!$A:$G,7,FALSE))</f>
        <v xml:space="preserve">
</v>
      </c>
      <c r="X19" s="7" t="str">
        <f t="shared" si="51"/>
        <v/>
      </c>
      <c r="Y19" s="27">
        <f>DATE(Konfiguration!$B$2,3,$B19)</f>
        <v>43176</v>
      </c>
      <c r="Z19" s="28">
        <f t="shared" si="73"/>
        <v>1</v>
      </c>
      <c r="AA19" s="28">
        <f>IF(ISNA(VLOOKUP(Y19,Ferien!$A:$A,1,FALSE))=TRUE,0,1)</f>
        <v>0</v>
      </c>
      <c r="AB19" s="28">
        <f>IF(ISNA(VLOOKUP(Y19,Feiertage!$A:$A,1,FALSE))=TRUE,0,1)</f>
        <v>0</v>
      </c>
      <c r="AC19" s="28">
        <f>IF(ISNA(VLOOKUP(Y19,Termine!$A:$A,1,FALSE))=TRUE,0,1)</f>
        <v>0</v>
      </c>
      <c r="AD19" s="28" t="str">
        <f>IF(ISNA(VLOOKUP(Y19,Aufenthalte!$A:$B,2,FALSE))=TRUE,"",VLOOKUP(Y19,Aufenthalte!$A:$B,2,FALSE))</f>
        <v>Mama</v>
      </c>
      <c r="AE19" s="25">
        <f t="shared" si="74"/>
        <v>17</v>
      </c>
      <c r="AF19" s="26">
        <f t="shared" si="75"/>
        <v>43176</v>
      </c>
      <c r="AG19" s="24" t="str">
        <f t="shared" si="76"/>
        <v/>
      </c>
      <c r="AH19" s="54" t="str">
        <f>IF(ISNA(VLOOKUP(Y19,Aufenthalte!$A:$G,7,FALSE))=TRUE,"",VLOOKUP(Y19,Aufenthalte!$A:$G,7,FALSE))</f>
        <v xml:space="preserve">
</v>
      </c>
      <c r="AI19" s="7" t="str">
        <f t="shared" si="52"/>
        <v/>
      </c>
      <c r="AJ19" s="27">
        <f>DATE(Konfiguration!$B$2,4,$B19)</f>
        <v>43207</v>
      </c>
      <c r="AK19" s="28">
        <f t="shared" si="53"/>
        <v>0</v>
      </c>
      <c r="AL19" s="28">
        <f>IF(ISNA(VLOOKUP(AJ19,Ferien!$A:$A,1,FALSE))=TRUE,0,1)</f>
        <v>0</v>
      </c>
      <c r="AM19" s="28">
        <f>IF(ISNA(VLOOKUP(AJ19,Feiertage!$A:$A,1,FALSE))=TRUE,0,1)</f>
        <v>0</v>
      </c>
      <c r="AN19" s="28">
        <f>IF(ISNA(VLOOKUP(AJ19,Termine!$A:$A,1,FALSE))=TRUE,0,1)</f>
        <v>0</v>
      </c>
      <c r="AO19" s="28" t="str">
        <f>IF(ISNA(VLOOKUP(AJ19,Aufenthalte!$A:$B,2,FALSE))=TRUE,"",VLOOKUP(AJ19,Aufenthalte!$A:$B,2,FALSE))</f>
        <v>Mama</v>
      </c>
      <c r="AP19" s="25">
        <f t="shared" si="5"/>
        <v>17</v>
      </c>
      <c r="AQ19" s="26">
        <f t="shared" si="6"/>
        <v>43207</v>
      </c>
      <c r="AR19" s="24" t="str">
        <f t="shared" si="7"/>
        <v/>
      </c>
      <c r="AS19" s="54" t="str">
        <f>IF(ISNA(VLOOKUP(AJ19,Aufenthalte!$A:$G,7,FALSE))=TRUE,"",VLOOKUP(AJ19,Aufenthalte!$A:$G,7,FALSE))</f>
        <v xml:space="preserve">
</v>
      </c>
      <c r="AT19" s="7" t="str">
        <f t="shared" si="54"/>
        <v/>
      </c>
      <c r="AU19" s="27">
        <f>DATE(Konfiguration!$B$2,5,$B19)</f>
        <v>43237</v>
      </c>
      <c r="AV19" s="28">
        <f t="shared" si="55"/>
        <v>0</v>
      </c>
      <c r="AW19" s="28">
        <f>IF(ISNA(VLOOKUP(AU19,Ferien!$A:$A,1,FALSE))=TRUE,0,1)</f>
        <v>0</v>
      </c>
      <c r="AX19" s="28">
        <f>IF(ISNA(VLOOKUP(AU19,Feiertage!$A:$A,1,FALSE))=TRUE,0,1)</f>
        <v>0</v>
      </c>
      <c r="AY19" s="28">
        <f>IF(ISNA(VLOOKUP(AU19,Termine!$A:$A,1,FALSE))=TRUE,0,1)</f>
        <v>0</v>
      </c>
      <c r="AZ19" s="28" t="str">
        <f>IF(ISNA(VLOOKUP(AU19,Aufenthalte!$A:$B,2,FALSE))=TRUE,"",VLOOKUP(AU19,Aufenthalte!$A:$B,2,FALSE))</f>
        <v>Mama</v>
      </c>
      <c r="BA19" s="25">
        <f t="shared" si="9"/>
        <v>17</v>
      </c>
      <c r="BB19" s="26">
        <f t="shared" si="10"/>
        <v>43237</v>
      </c>
      <c r="BC19" s="24" t="str">
        <f t="shared" si="11"/>
        <v/>
      </c>
      <c r="BD19" s="54" t="str">
        <f>IF(ISNA(VLOOKUP(AU19,Aufenthalte!$A:$G,7,FALSE))=TRUE,"",VLOOKUP(AU19,Aufenthalte!$A:$G,7,FALSE))</f>
        <v xml:space="preserve">
</v>
      </c>
      <c r="BE19" s="7" t="str">
        <f t="shared" si="56"/>
        <v/>
      </c>
      <c r="BF19" s="27">
        <f>DATE(Konfiguration!$B$2,6,$B19)</f>
        <v>43268</v>
      </c>
      <c r="BG19" s="28">
        <f t="shared" si="57"/>
        <v>1</v>
      </c>
      <c r="BH19" s="28">
        <f>IF(ISNA(VLOOKUP(BF19,Ferien!$A:$A,1,FALSE))=TRUE,0,1)</f>
        <v>0</v>
      </c>
      <c r="BI19" s="28">
        <f>IF(ISNA(VLOOKUP(BF19,Feiertage!$A:$A,1,FALSE))=TRUE,0,1)</f>
        <v>0</v>
      </c>
      <c r="BJ19" s="28">
        <f>IF(ISNA(VLOOKUP(BF19,Termine!$A:$A,1,FALSE))=TRUE,0,1)</f>
        <v>0</v>
      </c>
      <c r="BK19" s="28" t="str">
        <f>IF(ISNA(VLOOKUP(BF19,Aufenthalte!$A:$B,2,FALSE))=TRUE,"",VLOOKUP(BF19,Aufenthalte!$A:$B,2,FALSE))</f>
        <v>Mama</v>
      </c>
      <c r="BL19" s="25">
        <f t="shared" si="13"/>
        <v>17</v>
      </c>
      <c r="BM19" s="26">
        <f t="shared" si="14"/>
        <v>43268</v>
      </c>
      <c r="BN19" s="24" t="str">
        <f t="shared" si="15"/>
        <v/>
      </c>
      <c r="BO19" s="54" t="str">
        <f>IF(ISNA(VLOOKUP(BF19,Aufenthalte!$A:$G,7,FALSE))=TRUE,"",VLOOKUP(BF19,Aufenthalte!$A:$G,7,FALSE))</f>
        <v xml:space="preserve">
</v>
      </c>
      <c r="BP19" s="7" t="str">
        <f t="shared" si="58"/>
        <v/>
      </c>
      <c r="BQ19" s="27">
        <f>DATE(Konfiguration!$B$2,7,$B19)</f>
        <v>43298</v>
      </c>
      <c r="BR19" s="28">
        <f t="shared" si="59"/>
        <v>0</v>
      </c>
      <c r="BS19" s="28">
        <f>IF(ISNA(VLOOKUP(BQ19,Ferien!$A:$A,1,FALSE))=TRUE,0,1)</f>
        <v>1</v>
      </c>
      <c r="BT19" s="28">
        <f>IF(ISNA(VLOOKUP(BQ19,Feiertage!$A:$A,1,FALSE))=TRUE,0,1)</f>
        <v>0</v>
      </c>
      <c r="BU19" s="28">
        <f>IF(ISNA(VLOOKUP(BQ19,Termine!$A:$A,1,FALSE))=TRUE,0,1)</f>
        <v>0</v>
      </c>
      <c r="BV19" s="28" t="str">
        <f>IF(ISNA(VLOOKUP(BQ19,Aufenthalte!$A:$B,2,FALSE))=TRUE,"",VLOOKUP(BQ19,Aufenthalte!$A:$B,2,FALSE))</f>
        <v>Mama</v>
      </c>
      <c r="BW19" s="25">
        <f t="shared" si="17"/>
        <v>17</v>
      </c>
      <c r="BX19" s="26">
        <f t="shared" si="18"/>
        <v>43298</v>
      </c>
      <c r="BY19" s="24" t="str">
        <f t="shared" si="19"/>
        <v/>
      </c>
      <c r="BZ19" s="54" t="str">
        <f>IF(ISNA(VLOOKUP(BQ19,Aufenthalte!$A:$G,7,FALSE))=TRUE,"",VLOOKUP(BQ19,Aufenthalte!$A:$G,7,FALSE))</f>
        <v xml:space="preserve">
</v>
      </c>
      <c r="CA19" s="7" t="str">
        <f t="shared" si="60"/>
        <v/>
      </c>
      <c r="CB19" s="27">
        <f>DATE(Konfiguration!$B$2,8,$B19)</f>
        <v>43329</v>
      </c>
      <c r="CC19" s="28">
        <f t="shared" si="61"/>
        <v>0</v>
      </c>
      <c r="CD19" s="28">
        <f>IF(ISNA(VLOOKUP(CB19,Ferien!$A:$A,1,FALSE))=TRUE,0,1)</f>
        <v>0</v>
      </c>
      <c r="CE19" s="28">
        <f>IF(ISNA(VLOOKUP(CB19,Feiertage!$A:$A,1,FALSE))=TRUE,0,1)</f>
        <v>0</v>
      </c>
      <c r="CF19" s="28">
        <f>IF(ISNA(VLOOKUP(CB19,Termine!$A:$A,1,FALSE))=TRUE,0,1)</f>
        <v>0</v>
      </c>
      <c r="CG19" s="28" t="str">
        <f>IF(ISNA(VLOOKUP(CB19,Aufenthalte!$A:$B,2,FALSE))=TRUE,"",VLOOKUP(CB19,Aufenthalte!$A:$B,2,FALSE))</f>
        <v>Mama</v>
      </c>
      <c r="CH19" s="25">
        <f t="shared" si="21"/>
        <v>17</v>
      </c>
      <c r="CI19" s="26">
        <f t="shared" si="22"/>
        <v>43329</v>
      </c>
      <c r="CJ19" s="24" t="str">
        <f t="shared" si="23"/>
        <v/>
      </c>
      <c r="CK19" s="54" t="str">
        <f>IF(ISNA(VLOOKUP(CB19,Aufenthalte!$A:$G,7,FALSE))=TRUE,"",VLOOKUP(CB19,Aufenthalte!$A:$G,7,FALSE))</f>
        <v xml:space="preserve">
</v>
      </c>
      <c r="CL19" s="7" t="str">
        <f t="shared" si="62"/>
        <v/>
      </c>
      <c r="CM19" s="27">
        <f>DATE(Konfiguration!$B$2,9,$B19)</f>
        <v>43360</v>
      </c>
      <c r="CN19" s="28">
        <f t="shared" si="63"/>
        <v>0</v>
      </c>
      <c r="CO19" s="28">
        <f>IF(ISNA(VLOOKUP(CM19,Ferien!$A:$A,1,FALSE))=TRUE,0,1)</f>
        <v>0</v>
      </c>
      <c r="CP19" s="28">
        <f>IF(ISNA(VLOOKUP(CM19,Feiertage!$A:$A,1,FALSE))=TRUE,0,1)</f>
        <v>0</v>
      </c>
      <c r="CQ19" s="28">
        <f>IF(ISNA(VLOOKUP(CM19,Termine!$A:$A,1,FALSE))=TRUE,0,1)</f>
        <v>0</v>
      </c>
      <c r="CR19" s="28" t="str">
        <f>IF(ISNA(VLOOKUP(CM19,Aufenthalte!$A:$B,2,FALSE))=TRUE,"",VLOOKUP(CM19,Aufenthalte!$A:$B,2,FALSE))</f>
        <v>Mama</v>
      </c>
      <c r="CS19" s="25">
        <f t="shared" si="25"/>
        <v>17</v>
      </c>
      <c r="CT19" s="26">
        <f t="shared" si="26"/>
        <v>43360</v>
      </c>
      <c r="CU19" s="24" t="str">
        <f t="shared" si="27"/>
        <v/>
      </c>
      <c r="CV19" s="54" t="str">
        <f>IF(ISNA(VLOOKUP(CM19,Aufenthalte!$A:$G,7,FALSE))=TRUE,"",VLOOKUP(CM19,Aufenthalte!$A:$G,7,FALSE))</f>
        <v xml:space="preserve">
</v>
      </c>
      <c r="CW19" s="7">
        <f t="shared" si="64"/>
        <v>38</v>
      </c>
      <c r="CX19" s="27">
        <f>DATE(Konfiguration!$B$2,10,$B19)</f>
        <v>43390</v>
      </c>
      <c r="CY19" s="28">
        <f t="shared" si="65"/>
        <v>0</v>
      </c>
      <c r="CZ19" s="28">
        <f>IF(ISNA(VLOOKUP(CX19,Ferien!$A:$A,1,FALSE))=TRUE,0,1)</f>
        <v>0</v>
      </c>
      <c r="DA19" s="28">
        <f>IF(ISNA(VLOOKUP(CX19,Feiertage!$A:$A,1,FALSE))=TRUE,0,1)</f>
        <v>0</v>
      </c>
      <c r="DB19" s="28">
        <f>IF(ISNA(VLOOKUP(CX19,Termine!$A:$A,1,FALSE))=TRUE,0,1)</f>
        <v>0</v>
      </c>
      <c r="DC19" s="28" t="str">
        <f>IF(ISNA(VLOOKUP(CX19,Aufenthalte!$A:$B,2,FALSE))=TRUE,"",VLOOKUP(CX19,Aufenthalte!$A:$B,2,FALSE))</f>
        <v>Mama</v>
      </c>
      <c r="DD19" s="25">
        <f t="shared" si="29"/>
        <v>17</v>
      </c>
      <c r="DE19" s="26">
        <f t="shared" si="30"/>
        <v>43390</v>
      </c>
      <c r="DF19" s="24" t="str">
        <f t="shared" si="31"/>
        <v/>
      </c>
      <c r="DG19" s="54" t="str">
        <f>IF(ISNA(VLOOKUP(CX19,Aufenthalte!$A:$G,7,FALSE))=TRUE,"",VLOOKUP(CX19,Aufenthalte!$A:$G,7,FALSE))</f>
        <v xml:space="preserve">
</v>
      </c>
      <c r="DH19" s="7" t="str">
        <f t="shared" si="66"/>
        <v/>
      </c>
      <c r="DI19" s="27">
        <f>DATE(Konfiguration!$B$2,11,$B19)</f>
        <v>43421</v>
      </c>
      <c r="DJ19" s="28">
        <f t="shared" si="67"/>
        <v>1</v>
      </c>
      <c r="DK19" s="28">
        <f>IF(ISNA(VLOOKUP(DI19,Ferien!$A:$A,1,FALSE))=TRUE,0,1)</f>
        <v>0</v>
      </c>
      <c r="DL19" s="28">
        <f>IF(ISNA(VLOOKUP(DI19,Feiertage!$A:$A,1,FALSE))=TRUE,0,1)</f>
        <v>0</v>
      </c>
      <c r="DM19" s="28">
        <f>IF(ISNA(VLOOKUP(DI19,Termine!$A:$A,1,FALSE))=TRUE,0,1)</f>
        <v>0</v>
      </c>
      <c r="DN19" s="28" t="str">
        <f>IF(ISNA(VLOOKUP(DI19,Aufenthalte!$A:$B,2,FALSE))=TRUE,"",VLOOKUP(DI19,Aufenthalte!$A:$B,2,FALSE))</f>
        <v>Mama</v>
      </c>
      <c r="DO19" s="25">
        <f t="shared" si="33"/>
        <v>17</v>
      </c>
      <c r="DP19" s="26">
        <f t="shared" si="34"/>
        <v>43421</v>
      </c>
      <c r="DQ19" s="24" t="str">
        <f t="shared" si="35"/>
        <v/>
      </c>
      <c r="DR19" s="54" t="str">
        <f>IF(ISNA(VLOOKUP(DI19,Aufenthalte!$A:$G,7,FALSE))=TRUE,"",VLOOKUP(DI19,Aufenthalte!$A:$G,7,FALSE))</f>
        <v xml:space="preserve">
</v>
      </c>
      <c r="DS19" s="7" t="str">
        <f t="shared" si="68"/>
        <v/>
      </c>
      <c r="DT19" s="27">
        <f>DATE(Konfiguration!$B$2,12,$B19)</f>
        <v>43451</v>
      </c>
      <c r="DU19" s="28">
        <f t="shared" si="69"/>
        <v>0</v>
      </c>
      <c r="DV19" s="28">
        <f>IF(ISNA(VLOOKUP(DT19,Ferien!$A:$A,1,FALSE))=TRUE,0,1)</f>
        <v>0</v>
      </c>
      <c r="DW19" s="28">
        <f>IF(ISNA(VLOOKUP(DT19,Feiertage!$A:$A,1,FALSE))=TRUE,0,1)</f>
        <v>0</v>
      </c>
      <c r="DX19" s="28">
        <f>IF(ISNA(VLOOKUP(DT19,Termine!$A:$A,1,FALSE))=TRUE,0,1)</f>
        <v>0</v>
      </c>
      <c r="DY19" s="28" t="str">
        <f>IF(ISNA(VLOOKUP(DT19,Aufenthalte!$A:$B,2,FALSE))=TRUE,"",VLOOKUP(DT19,Aufenthalte!$A:$B,2,FALSE))</f>
        <v>Mama</v>
      </c>
      <c r="DZ19" s="25">
        <f t="shared" si="37"/>
        <v>17</v>
      </c>
      <c r="EA19" s="26">
        <f t="shared" si="38"/>
        <v>43451</v>
      </c>
      <c r="EB19" s="24" t="str">
        <f t="shared" si="39"/>
        <v/>
      </c>
      <c r="EC19" s="54" t="str">
        <f>IF(ISNA(VLOOKUP(DT19,Aufenthalte!$A:$G,7,FALSE))=TRUE,"",VLOOKUP(DT19,Aufenthalte!$A:$G,7,FALSE))</f>
        <v xml:space="preserve">
</v>
      </c>
      <c r="ED19" s="7">
        <f t="shared" si="70"/>
        <v>51</v>
      </c>
      <c r="EE19" s="10"/>
      <c r="EF19" s="48"/>
      <c r="EG19" s="48"/>
      <c r="EH19" s="48"/>
      <c r="EI19" s="48"/>
      <c r="EJ19" s="48"/>
      <c r="EK19" s="48"/>
      <c r="EL19" s="48"/>
      <c r="EM19" s="9"/>
      <c r="EN19" s="122"/>
      <c r="EO19" s="123"/>
    </row>
    <row r="20" spans="2:145" s="1" customFormat="1" ht="21" customHeight="1">
      <c r="B20" s="8">
        <v>18</v>
      </c>
      <c r="C20" s="27">
        <f>DATE(Konfiguration!$B$2,1,$B20)</f>
        <v>43118</v>
      </c>
      <c r="D20" s="28">
        <f t="shared" si="45"/>
        <v>0</v>
      </c>
      <c r="E20" s="28">
        <f>IF(ISNA(VLOOKUP(C20,Ferien!$A:$A,1,FALSE))=TRUE,0,1)</f>
        <v>0</v>
      </c>
      <c r="F20" s="28">
        <f>IF(ISNA(VLOOKUP(C20,Feiertage!$A:$A,1,FALSE))=TRUE,0,1)</f>
        <v>0</v>
      </c>
      <c r="G20" s="28">
        <f>IF(ISNA(VLOOKUP(C20,Termine!$A:$A,1,FALSE))=TRUE,0,1)</f>
        <v>0</v>
      </c>
      <c r="H20" s="28" t="str">
        <f>IF(ISNA(VLOOKUP(C20,Aufenthalte!$A:$B,2,FALSE))=TRUE,"",VLOOKUP(C20,Aufenthalte!$A:$B,2,FALSE))</f>
        <v>Papa</v>
      </c>
      <c r="I20" s="25">
        <f t="shared" si="46"/>
        <v>18</v>
      </c>
      <c r="J20" s="26">
        <f t="shared" si="0"/>
        <v>43118</v>
      </c>
      <c r="K20" s="24" t="str">
        <f t="shared" si="47"/>
        <v/>
      </c>
      <c r="L20" s="54" t="str">
        <f>IF(ISNA(VLOOKUP(C20,Aufenthalte!$A:$G,7,FALSE))=TRUE,"",VLOOKUP(C20,Aufenthalte!$A:$G,7,FALSE))</f>
        <v>10:00
20:00</v>
      </c>
      <c r="M20" s="7" t="str">
        <f t="shared" si="77"/>
        <v/>
      </c>
      <c r="N20" s="27">
        <f>DATE(Konfiguration!$B$2,2,$B20)</f>
        <v>43149</v>
      </c>
      <c r="O20" s="28">
        <f t="shared" si="48"/>
        <v>1</v>
      </c>
      <c r="P20" s="28">
        <f>IF(ISNA(VLOOKUP(N20,Ferien!$A:$A,1,FALSE))=TRUE,0,1)</f>
        <v>0</v>
      </c>
      <c r="Q20" s="28">
        <f>IF(ISNA(VLOOKUP(N20,Feiertage!$A:$A,1,FALSE))=TRUE,0,1)</f>
        <v>0</v>
      </c>
      <c r="R20" s="28">
        <f>IF(ISNA(VLOOKUP(N20,Termine!$A:$A,1,FALSE))=TRUE,0,1)</f>
        <v>0</v>
      </c>
      <c r="S20" s="28" t="str">
        <f>IF(ISNA(VLOOKUP(N20,Aufenthalte!$A:$B,2,FALSE))=TRUE,"",VLOOKUP(N20,Aufenthalte!$A:$B,2,FALSE))</f>
        <v>Mama</v>
      </c>
      <c r="T20" s="25">
        <f t="shared" si="49"/>
        <v>18</v>
      </c>
      <c r="U20" s="26">
        <f t="shared" si="50"/>
        <v>43149</v>
      </c>
      <c r="V20" s="24" t="str">
        <f t="shared" si="2"/>
        <v/>
      </c>
      <c r="W20" s="54" t="str">
        <f>IF(ISNA(VLOOKUP(N20,Aufenthalte!$A:$G,7,FALSE))=TRUE,"",VLOOKUP(N20,Aufenthalte!$A:$G,7,FALSE))</f>
        <v xml:space="preserve">
</v>
      </c>
      <c r="X20" s="7" t="str">
        <f t="shared" si="51"/>
        <v/>
      </c>
      <c r="Y20" s="27">
        <f>DATE(Konfiguration!$B$2,3,$B20)</f>
        <v>43177</v>
      </c>
      <c r="Z20" s="28">
        <f t="shared" si="73"/>
        <v>1</v>
      </c>
      <c r="AA20" s="28">
        <f>IF(ISNA(VLOOKUP(Y20,Ferien!$A:$A,1,FALSE))=TRUE,0,1)</f>
        <v>0</v>
      </c>
      <c r="AB20" s="28">
        <f>IF(ISNA(VLOOKUP(Y20,Feiertage!$A:$A,1,FALSE))=TRUE,0,1)</f>
        <v>0</v>
      </c>
      <c r="AC20" s="28">
        <f>IF(ISNA(VLOOKUP(Y20,Termine!$A:$A,1,FALSE))=TRUE,0,1)</f>
        <v>0</v>
      </c>
      <c r="AD20" s="28" t="str">
        <f>IF(ISNA(VLOOKUP(Y20,Aufenthalte!$A:$B,2,FALSE))=TRUE,"",VLOOKUP(Y20,Aufenthalte!$A:$B,2,FALSE))</f>
        <v>Mama</v>
      </c>
      <c r="AE20" s="25">
        <f t="shared" si="74"/>
        <v>18</v>
      </c>
      <c r="AF20" s="26">
        <f t="shared" si="75"/>
        <v>43177</v>
      </c>
      <c r="AG20" s="24" t="str">
        <f t="shared" si="76"/>
        <v/>
      </c>
      <c r="AH20" s="54" t="str">
        <f>IF(ISNA(VLOOKUP(Y20,Aufenthalte!$A:$G,7,FALSE))=TRUE,"",VLOOKUP(Y20,Aufenthalte!$A:$G,7,FALSE))</f>
        <v xml:space="preserve">
</v>
      </c>
      <c r="AI20" s="7" t="str">
        <f t="shared" si="52"/>
        <v/>
      </c>
      <c r="AJ20" s="27">
        <f>DATE(Konfiguration!$B$2,4,$B20)</f>
        <v>43208</v>
      </c>
      <c r="AK20" s="28">
        <f t="shared" si="53"/>
        <v>0</v>
      </c>
      <c r="AL20" s="28">
        <f>IF(ISNA(VLOOKUP(AJ20,Ferien!$A:$A,1,FALSE))=TRUE,0,1)</f>
        <v>0</v>
      </c>
      <c r="AM20" s="28">
        <f>IF(ISNA(VLOOKUP(AJ20,Feiertage!$A:$A,1,FALSE))=TRUE,0,1)</f>
        <v>0</v>
      </c>
      <c r="AN20" s="28">
        <f>IF(ISNA(VLOOKUP(AJ20,Termine!$A:$A,1,FALSE))=TRUE,0,1)</f>
        <v>0</v>
      </c>
      <c r="AO20" s="28" t="str">
        <f>IF(ISNA(VLOOKUP(AJ20,Aufenthalte!$A:$B,2,FALSE))=TRUE,"",VLOOKUP(AJ20,Aufenthalte!$A:$B,2,FALSE))</f>
        <v>Mama</v>
      </c>
      <c r="AP20" s="25">
        <f t="shared" si="5"/>
        <v>18</v>
      </c>
      <c r="AQ20" s="26">
        <f t="shared" si="6"/>
        <v>43208</v>
      </c>
      <c r="AR20" s="24" t="str">
        <f t="shared" si="7"/>
        <v/>
      </c>
      <c r="AS20" s="54" t="str">
        <f>IF(ISNA(VLOOKUP(AJ20,Aufenthalte!$A:$G,7,FALSE))=TRUE,"",VLOOKUP(AJ20,Aufenthalte!$A:$G,7,FALSE))</f>
        <v xml:space="preserve">
</v>
      </c>
      <c r="AT20" s="7" t="str">
        <f t="shared" si="54"/>
        <v/>
      </c>
      <c r="AU20" s="27">
        <f>DATE(Konfiguration!$B$2,5,$B20)</f>
        <v>43238</v>
      </c>
      <c r="AV20" s="28">
        <f t="shared" si="55"/>
        <v>0</v>
      </c>
      <c r="AW20" s="28">
        <f>IF(ISNA(VLOOKUP(AU20,Ferien!$A:$A,1,FALSE))=TRUE,0,1)</f>
        <v>0</v>
      </c>
      <c r="AX20" s="28">
        <f>IF(ISNA(VLOOKUP(AU20,Feiertage!$A:$A,1,FALSE))=TRUE,0,1)</f>
        <v>0</v>
      </c>
      <c r="AY20" s="28">
        <f>IF(ISNA(VLOOKUP(AU20,Termine!$A:$A,1,FALSE))=TRUE,0,1)</f>
        <v>0</v>
      </c>
      <c r="AZ20" s="28" t="str">
        <f>IF(ISNA(VLOOKUP(AU20,Aufenthalte!$A:$B,2,FALSE))=TRUE,"",VLOOKUP(AU20,Aufenthalte!$A:$B,2,FALSE))</f>
        <v>Mama</v>
      </c>
      <c r="BA20" s="25">
        <f t="shared" si="9"/>
        <v>18</v>
      </c>
      <c r="BB20" s="26">
        <f t="shared" si="10"/>
        <v>43238</v>
      </c>
      <c r="BC20" s="24" t="str">
        <f t="shared" si="11"/>
        <v/>
      </c>
      <c r="BD20" s="54" t="str">
        <f>IF(ISNA(VLOOKUP(AU20,Aufenthalte!$A:$G,7,FALSE))=TRUE,"",VLOOKUP(AU20,Aufenthalte!$A:$G,7,FALSE))</f>
        <v xml:space="preserve">
</v>
      </c>
      <c r="BE20" s="7" t="str">
        <f t="shared" si="56"/>
        <v/>
      </c>
      <c r="BF20" s="27">
        <f>DATE(Konfiguration!$B$2,6,$B20)</f>
        <v>43269</v>
      </c>
      <c r="BG20" s="28">
        <f t="shared" si="57"/>
        <v>0</v>
      </c>
      <c r="BH20" s="28">
        <f>IF(ISNA(VLOOKUP(BF20,Ferien!$A:$A,1,FALSE))=TRUE,0,1)</f>
        <v>0</v>
      </c>
      <c r="BI20" s="28">
        <f>IF(ISNA(VLOOKUP(BF20,Feiertage!$A:$A,1,FALSE))=TRUE,0,1)</f>
        <v>0</v>
      </c>
      <c r="BJ20" s="28">
        <f>IF(ISNA(VLOOKUP(BF20,Termine!$A:$A,1,FALSE))=TRUE,0,1)</f>
        <v>0</v>
      </c>
      <c r="BK20" s="28" t="str">
        <f>IF(ISNA(VLOOKUP(BF20,Aufenthalte!$A:$B,2,FALSE))=TRUE,"",VLOOKUP(BF20,Aufenthalte!$A:$B,2,FALSE))</f>
        <v>Mama</v>
      </c>
      <c r="BL20" s="25">
        <f t="shared" si="13"/>
        <v>18</v>
      </c>
      <c r="BM20" s="26">
        <f t="shared" si="14"/>
        <v>43269</v>
      </c>
      <c r="BN20" s="24" t="str">
        <f t="shared" si="15"/>
        <v/>
      </c>
      <c r="BO20" s="54" t="str">
        <f>IF(ISNA(VLOOKUP(BF20,Aufenthalte!$A:$G,7,FALSE))=TRUE,"",VLOOKUP(BF20,Aufenthalte!$A:$G,7,FALSE))</f>
        <v xml:space="preserve">
</v>
      </c>
      <c r="BP20" s="7">
        <f t="shared" si="58"/>
        <v>25</v>
      </c>
      <c r="BQ20" s="27">
        <f>DATE(Konfiguration!$B$2,7,$B20)</f>
        <v>43299</v>
      </c>
      <c r="BR20" s="28">
        <f t="shared" si="59"/>
        <v>0</v>
      </c>
      <c r="BS20" s="28">
        <f>IF(ISNA(VLOOKUP(BQ20,Ferien!$A:$A,1,FALSE))=TRUE,0,1)</f>
        <v>1</v>
      </c>
      <c r="BT20" s="28">
        <f>IF(ISNA(VLOOKUP(BQ20,Feiertage!$A:$A,1,FALSE))=TRUE,0,1)</f>
        <v>0</v>
      </c>
      <c r="BU20" s="28">
        <f>IF(ISNA(VLOOKUP(BQ20,Termine!$A:$A,1,FALSE))=TRUE,0,1)</f>
        <v>1</v>
      </c>
      <c r="BV20" s="28" t="str">
        <f>IF(ISNA(VLOOKUP(BQ20,Aufenthalte!$A:$B,2,FALSE))=TRUE,"",VLOOKUP(BQ20,Aufenthalte!$A:$B,2,FALSE))</f>
        <v>Mama</v>
      </c>
      <c r="BW20" s="25">
        <f t="shared" si="17"/>
        <v>18</v>
      </c>
      <c r="BX20" s="26">
        <f t="shared" si="18"/>
        <v>43299</v>
      </c>
      <c r="BY20" s="24" t="str">
        <f t="shared" si="19"/>
        <v>ü</v>
      </c>
      <c r="BZ20" s="54" t="str">
        <f>IF(ISNA(VLOOKUP(BQ20,Aufenthalte!$A:$G,7,FALSE))=TRUE,"",VLOOKUP(BQ20,Aufenthalte!$A:$G,7,FALSE))</f>
        <v xml:space="preserve">
</v>
      </c>
      <c r="CA20" s="7" t="str">
        <f t="shared" si="60"/>
        <v/>
      </c>
      <c r="CB20" s="27">
        <f>DATE(Konfiguration!$B$2,8,$B20)</f>
        <v>43330</v>
      </c>
      <c r="CC20" s="28">
        <f t="shared" si="61"/>
        <v>1</v>
      </c>
      <c r="CD20" s="28">
        <f>IF(ISNA(VLOOKUP(CB20,Ferien!$A:$A,1,FALSE))=TRUE,0,1)</f>
        <v>0</v>
      </c>
      <c r="CE20" s="28">
        <f>IF(ISNA(VLOOKUP(CB20,Feiertage!$A:$A,1,FALSE))=TRUE,0,1)</f>
        <v>0</v>
      </c>
      <c r="CF20" s="28">
        <f>IF(ISNA(VLOOKUP(CB20,Termine!$A:$A,1,FALSE))=TRUE,0,1)</f>
        <v>1</v>
      </c>
      <c r="CG20" s="28" t="str">
        <f>IF(ISNA(VLOOKUP(CB20,Aufenthalte!$A:$B,2,FALSE))=TRUE,"",VLOOKUP(CB20,Aufenthalte!$A:$B,2,FALSE))</f>
        <v>Mama</v>
      </c>
      <c r="CH20" s="25">
        <f t="shared" si="21"/>
        <v>18</v>
      </c>
      <c r="CI20" s="26">
        <f t="shared" si="22"/>
        <v>43330</v>
      </c>
      <c r="CJ20" s="24" t="str">
        <f t="shared" si="23"/>
        <v>ü</v>
      </c>
      <c r="CK20" s="54" t="str">
        <f>IF(ISNA(VLOOKUP(CB20,Aufenthalte!$A:$G,7,FALSE))=TRUE,"",VLOOKUP(CB20,Aufenthalte!$A:$G,7,FALSE))</f>
        <v xml:space="preserve">
</v>
      </c>
      <c r="CL20" s="7" t="str">
        <f t="shared" si="62"/>
        <v/>
      </c>
      <c r="CM20" s="27">
        <f>DATE(Konfiguration!$B$2,9,$B20)</f>
        <v>43361</v>
      </c>
      <c r="CN20" s="28">
        <f t="shared" si="63"/>
        <v>0</v>
      </c>
      <c r="CO20" s="28">
        <f>IF(ISNA(VLOOKUP(CM20,Ferien!$A:$A,1,FALSE))=TRUE,0,1)</f>
        <v>0</v>
      </c>
      <c r="CP20" s="28">
        <f>IF(ISNA(VLOOKUP(CM20,Feiertage!$A:$A,1,FALSE))=TRUE,0,1)</f>
        <v>0</v>
      </c>
      <c r="CQ20" s="28">
        <f>IF(ISNA(VLOOKUP(CM20,Termine!$A:$A,1,FALSE))=TRUE,0,1)</f>
        <v>1</v>
      </c>
      <c r="CR20" s="28" t="str">
        <f>IF(ISNA(VLOOKUP(CM20,Aufenthalte!$A:$B,2,FALSE))=TRUE,"",VLOOKUP(CM20,Aufenthalte!$A:$B,2,FALSE))</f>
        <v>Mama</v>
      </c>
      <c r="CS20" s="25">
        <f t="shared" si="25"/>
        <v>18</v>
      </c>
      <c r="CT20" s="26">
        <f t="shared" si="26"/>
        <v>43361</v>
      </c>
      <c r="CU20" s="24" t="str">
        <f t="shared" si="27"/>
        <v>ü</v>
      </c>
      <c r="CV20" s="54" t="str">
        <f>IF(ISNA(VLOOKUP(CM20,Aufenthalte!$A:$G,7,FALSE))=TRUE,"",VLOOKUP(CM20,Aufenthalte!$A:$G,7,FALSE))</f>
        <v xml:space="preserve">
</v>
      </c>
      <c r="CW20" s="7" t="str">
        <f t="shared" si="64"/>
        <v/>
      </c>
      <c r="CX20" s="27">
        <f>DATE(Konfiguration!$B$2,10,$B20)</f>
        <v>43391</v>
      </c>
      <c r="CY20" s="28">
        <f t="shared" si="65"/>
        <v>0</v>
      </c>
      <c r="CZ20" s="28">
        <f>IF(ISNA(VLOOKUP(CX20,Ferien!$A:$A,1,FALSE))=TRUE,0,1)</f>
        <v>0</v>
      </c>
      <c r="DA20" s="28">
        <f>IF(ISNA(VLOOKUP(CX20,Feiertage!$A:$A,1,FALSE))=TRUE,0,1)</f>
        <v>0</v>
      </c>
      <c r="DB20" s="28">
        <f>IF(ISNA(VLOOKUP(CX20,Termine!$A:$A,1,FALSE))=TRUE,0,1)</f>
        <v>0</v>
      </c>
      <c r="DC20" s="28" t="str">
        <f>IF(ISNA(VLOOKUP(CX20,Aufenthalte!$A:$B,2,FALSE))=TRUE,"",VLOOKUP(CX20,Aufenthalte!$A:$B,2,FALSE))</f>
        <v>Mama</v>
      </c>
      <c r="DD20" s="25">
        <f t="shared" si="29"/>
        <v>18</v>
      </c>
      <c r="DE20" s="26">
        <f t="shared" si="30"/>
        <v>43391</v>
      </c>
      <c r="DF20" s="24" t="str">
        <f t="shared" si="31"/>
        <v/>
      </c>
      <c r="DG20" s="54" t="str">
        <f>IF(ISNA(VLOOKUP(CX20,Aufenthalte!$A:$G,7,FALSE))=TRUE,"",VLOOKUP(CX20,Aufenthalte!$A:$G,7,FALSE))</f>
        <v xml:space="preserve">
</v>
      </c>
      <c r="DH20" s="7" t="str">
        <f t="shared" si="66"/>
        <v/>
      </c>
      <c r="DI20" s="27">
        <f>DATE(Konfiguration!$B$2,11,$B20)</f>
        <v>43422</v>
      </c>
      <c r="DJ20" s="28">
        <f t="shared" si="67"/>
        <v>1</v>
      </c>
      <c r="DK20" s="28">
        <f>IF(ISNA(VLOOKUP(DI20,Ferien!$A:$A,1,FALSE))=TRUE,0,1)</f>
        <v>0</v>
      </c>
      <c r="DL20" s="28">
        <f>IF(ISNA(VLOOKUP(DI20,Feiertage!$A:$A,1,FALSE))=TRUE,0,1)</f>
        <v>0</v>
      </c>
      <c r="DM20" s="28">
        <f>IF(ISNA(VLOOKUP(DI20,Termine!$A:$A,1,FALSE))=TRUE,0,1)</f>
        <v>0</v>
      </c>
      <c r="DN20" s="28" t="str">
        <f>IF(ISNA(VLOOKUP(DI20,Aufenthalte!$A:$B,2,FALSE))=TRUE,"",VLOOKUP(DI20,Aufenthalte!$A:$B,2,FALSE))</f>
        <v>Mama</v>
      </c>
      <c r="DO20" s="25">
        <f t="shared" si="33"/>
        <v>18</v>
      </c>
      <c r="DP20" s="26">
        <f t="shared" si="34"/>
        <v>43422</v>
      </c>
      <c r="DQ20" s="24" t="str">
        <f t="shared" si="35"/>
        <v/>
      </c>
      <c r="DR20" s="54" t="str">
        <f>IF(ISNA(VLOOKUP(DI20,Aufenthalte!$A:$G,7,FALSE))=TRUE,"",VLOOKUP(DI20,Aufenthalte!$A:$G,7,FALSE))</f>
        <v xml:space="preserve">
</v>
      </c>
      <c r="DS20" s="7" t="str">
        <f t="shared" si="68"/>
        <v/>
      </c>
      <c r="DT20" s="27">
        <f>DATE(Konfiguration!$B$2,12,$B20)</f>
        <v>43452</v>
      </c>
      <c r="DU20" s="28">
        <f t="shared" si="69"/>
        <v>0</v>
      </c>
      <c r="DV20" s="28">
        <f>IF(ISNA(VLOOKUP(DT20,Ferien!$A:$A,1,FALSE))=TRUE,0,1)</f>
        <v>0</v>
      </c>
      <c r="DW20" s="28">
        <f>IF(ISNA(VLOOKUP(DT20,Feiertage!$A:$A,1,FALSE))=TRUE,0,1)</f>
        <v>0</v>
      </c>
      <c r="DX20" s="28">
        <f>IF(ISNA(VLOOKUP(DT20,Termine!$A:$A,1,FALSE))=TRUE,0,1)</f>
        <v>0</v>
      </c>
      <c r="DY20" s="28" t="str">
        <f>IF(ISNA(VLOOKUP(DT20,Aufenthalte!$A:$B,2,FALSE))=TRUE,"",VLOOKUP(DT20,Aufenthalte!$A:$B,2,FALSE))</f>
        <v>Mama</v>
      </c>
      <c r="DZ20" s="25">
        <f t="shared" si="37"/>
        <v>18</v>
      </c>
      <c r="EA20" s="26">
        <f t="shared" si="38"/>
        <v>43452</v>
      </c>
      <c r="EB20" s="24" t="str">
        <f t="shared" si="39"/>
        <v/>
      </c>
      <c r="EC20" s="54" t="str">
        <f>IF(ISNA(VLOOKUP(DT20,Aufenthalte!$A:$G,7,FALSE))=TRUE,"",VLOOKUP(DT20,Aufenthalte!$A:$G,7,FALSE))</f>
        <v xml:space="preserve">
</v>
      </c>
      <c r="ED20" s="7" t="str">
        <f t="shared" si="70"/>
        <v/>
      </c>
      <c r="EE20" s="10"/>
      <c r="EF20" s="48"/>
      <c r="EG20" s="48"/>
      <c r="EH20" s="48"/>
      <c r="EI20" s="48"/>
      <c r="EJ20" s="48"/>
      <c r="EK20" s="48"/>
      <c r="EL20" s="48"/>
      <c r="EM20" s="9"/>
      <c r="EN20" s="122"/>
      <c r="EO20" s="123"/>
    </row>
    <row r="21" spans="2:145" s="1" customFormat="1" ht="21" customHeight="1">
      <c r="B21" s="8">
        <v>19</v>
      </c>
      <c r="C21" s="27">
        <f>DATE(Konfiguration!$B$2,1,$B21)</f>
        <v>43119</v>
      </c>
      <c r="D21" s="28">
        <f t="shared" si="45"/>
        <v>0</v>
      </c>
      <c r="E21" s="28">
        <f>IF(ISNA(VLOOKUP(C21,Ferien!$A:$A,1,FALSE))=TRUE,0,1)</f>
        <v>0</v>
      </c>
      <c r="F21" s="28">
        <f>IF(ISNA(VLOOKUP(C21,Feiertage!$A:$A,1,FALSE))=TRUE,0,1)</f>
        <v>0</v>
      </c>
      <c r="G21" s="28">
        <f>IF(ISNA(VLOOKUP(C21,Termine!$A:$A,1,FALSE))=TRUE,0,1)</f>
        <v>0</v>
      </c>
      <c r="H21" s="28" t="str">
        <f>IF(ISNA(VLOOKUP(C21,Aufenthalte!$A:$B,2,FALSE))=TRUE,"",VLOOKUP(C21,Aufenthalte!$A:$B,2,FALSE))</f>
        <v>Mama</v>
      </c>
      <c r="I21" s="25">
        <f t="shared" si="46"/>
        <v>19</v>
      </c>
      <c r="J21" s="26">
        <f t="shared" si="0"/>
        <v>43119</v>
      </c>
      <c r="K21" s="24" t="str">
        <f t="shared" si="47"/>
        <v/>
      </c>
      <c r="L21" s="54" t="str">
        <f>IF(ISNA(VLOOKUP(C21,Aufenthalte!$A:$G,7,FALSE))=TRUE,"",VLOOKUP(C21,Aufenthalte!$A:$G,7,FALSE))</f>
        <v xml:space="preserve">
</v>
      </c>
      <c r="M21" s="7" t="str">
        <f t="shared" si="77"/>
        <v/>
      </c>
      <c r="N21" s="27">
        <f>DATE(Konfiguration!$B$2,2,$B21)</f>
        <v>43150</v>
      </c>
      <c r="O21" s="28">
        <f t="shared" si="48"/>
        <v>0</v>
      </c>
      <c r="P21" s="28">
        <f>IF(ISNA(VLOOKUP(N21,Ferien!$A:$A,1,FALSE))=TRUE,0,1)</f>
        <v>0</v>
      </c>
      <c r="Q21" s="28">
        <f>IF(ISNA(VLOOKUP(N21,Feiertage!$A:$A,1,FALSE))=TRUE,0,1)</f>
        <v>0</v>
      </c>
      <c r="R21" s="28">
        <f>IF(ISNA(VLOOKUP(N21,Termine!$A:$A,1,FALSE))=TRUE,0,1)</f>
        <v>0</v>
      </c>
      <c r="S21" s="28" t="str">
        <f>IF(ISNA(VLOOKUP(N21,Aufenthalte!$A:$B,2,FALSE))=TRUE,"",VLOOKUP(N21,Aufenthalte!$A:$B,2,FALSE))</f>
        <v>Mama</v>
      </c>
      <c r="T21" s="25">
        <f t="shared" si="49"/>
        <v>19</v>
      </c>
      <c r="U21" s="26">
        <f t="shared" si="50"/>
        <v>43150</v>
      </c>
      <c r="V21" s="24" t="str">
        <f t="shared" si="2"/>
        <v/>
      </c>
      <c r="W21" s="54" t="str">
        <f>IF(ISNA(VLOOKUP(N21,Aufenthalte!$A:$G,7,FALSE))=TRUE,"",VLOOKUP(N21,Aufenthalte!$A:$G,7,FALSE))</f>
        <v xml:space="preserve">
</v>
      </c>
      <c r="X21" s="7">
        <f t="shared" si="51"/>
        <v>8</v>
      </c>
      <c r="Y21" s="27">
        <f>DATE(Konfiguration!$B$2,3,$B21)</f>
        <v>43178</v>
      </c>
      <c r="Z21" s="28">
        <f t="shared" si="73"/>
        <v>0</v>
      </c>
      <c r="AA21" s="28">
        <f>IF(ISNA(VLOOKUP(Y21,Ferien!$A:$A,1,FALSE))=TRUE,0,1)</f>
        <v>0</v>
      </c>
      <c r="AB21" s="28">
        <f>IF(ISNA(VLOOKUP(Y21,Feiertage!$A:$A,1,FALSE))=TRUE,0,1)</f>
        <v>0</v>
      </c>
      <c r="AC21" s="28">
        <f>IF(ISNA(VLOOKUP(Y21,Termine!$A:$A,1,FALSE))=TRUE,0,1)</f>
        <v>0</v>
      </c>
      <c r="AD21" s="28" t="str">
        <f>IF(ISNA(VLOOKUP(Y21,Aufenthalte!$A:$B,2,FALSE))=TRUE,"",VLOOKUP(Y21,Aufenthalte!$A:$B,2,FALSE))</f>
        <v>Mama</v>
      </c>
      <c r="AE21" s="25">
        <f t="shared" si="74"/>
        <v>19</v>
      </c>
      <c r="AF21" s="26">
        <f t="shared" si="75"/>
        <v>43178</v>
      </c>
      <c r="AG21" s="24" t="str">
        <f t="shared" si="76"/>
        <v/>
      </c>
      <c r="AH21" s="54" t="str">
        <f>IF(ISNA(VLOOKUP(Y21,Aufenthalte!$A:$G,7,FALSE))=TRUE,"",VLOOKUP(Y21,Aufenthalte!$A:$G,7,FALSE))</f>
        <v xml:space="preserve">
</v>
      </c>
      <c r="AI21" s="7">
        <f t="shared" si="52"/>
        <v>12</v>
      </c>
      <c r="AJ21" s="27">
        <f>DATE(Konfiguration!$B$2,4,$B21)</f>
        <v>43209</v>
      </c>
      <c r="AK21" s="28">
        <f t="shared" si="53"/>
        <v>0</v>
      </c>
      <c r="AL21" s="28">
        <f>IF(ISNA(VLOOKUP(AJ21,Ferien!$A:$A,1,FALSE))=TRUE,0,1)</f>
        <v>0</v>
      </c>
      <c r="AM21" s="28">
        <f>IF(ISNA(VLOOKUP(AJ21,Feiertage!$A:$A,1,FALSE))=TRUE,0,1)</f>
        <v>0</v>
      </c>
      <c r="AN21" s="28">
        <f>IF(ISNA(VLOOKUP(AJ21,Termine!$A:$A,1,FALSE))=TRUE,0,1)</f>
        <v>0</v>
      </c>
      <c r="AO21" s="28" t="str">
        <f>IF(ISNA(VLOOKUP(AJ21,Aufenthalte!$A:$B,2,FALSE))=TRUE,"",VLOOKUP(AJ21,Aufenthalte!$A:$B,2,FALSE))</f>
        <v>Mama</v>
      </c>
      <c r="AP21" s="25">
        <f t="shared" si="5"/>
        <v>19</v>
      </c>
      <c r="AQ21" s="26">
        <f t="shared" si="6"/>
        <v>43209</v>
      </c>
      <c r="AR21" s="24" t="str">
        <f t="shared" si="7"/>
        <v/>
      </c>
      <c r="AS21" s="54" t="str">
        <f>IF(ISNA(VLOOKUP(AJ21,Aufenthalte!$A:$G,7,FALSE))=TRUE,"",VLOOKUP(AJ21,Aufenthalte!$A:$G,7,FALSE))</f>
        <v xml:space="preserve">
</v>
      </c>
      <c r="AT21" s="7" t="str">
        <f t="shared" si="54"/>
        <v/>
      </c>
      <c r="AU21" s="27">
        <f>DATE(Konfiguration!$B$2,5,$B21)</f>
        <v>43239</v>
      </c>
      <c r="AV21" s="28">
        <f t="shared" si="55"/>
        <v>1</v>
      </c>
      <c r="AW21" s="28">
        <f>IF(ISNA(VLOOKUP(AU21,Ferien!$A:$A,1,FALSE))=TRUE,0,1)</f>
        <v>0</v>
      </c>
      <c r="AX21" s="28">
        <f>IF(ISNA(VLOOKUP(AU21,Feiertage!$A:$A,1,FALSE))=TRUE,0,1)</f>
        <v>0</v>
      </c>
      <c r="AY21" s="28">
        <f>IF(ISNA(VLOOKUP(AU21,Termine!$A:$A,1,FALSE))=TRUE,0,1)</f>
        <v>0</v>
      </c>
      <c r="AZ21" s="28" t="str">
        <f>IF(ISNA(VLOOKUP(AU21,Aufenthalte!$A:$B,2,FALSE))=TRUE,"",VLOOKUP(AU21,Aufenthalte!$A:$B,2,FALSE))</f>
        <v>Mama</v>
      </c>
      <c r="BA21" s="25">
        <f t="shared" si="9"/>
        <v>19</v>
      </c>
      <c r="BB21" s="26">
        <f t="shared" si="10"/>
        <v>43239</v>
      </c>
      <c r="BC21" s="24" t="str">
        <f t="shared" si="11"/>
        <v/>
      </c>
      <c r="BD21" s="54" t="str">
        <f>IF(ISNA(VLOOKUP(AU21,Aufenthalte!$A:$G,7,FALSE))=TRUE,"",VLOOKUP(AU21,Aufenthalte!$A:$G,7,FALSE))</f>
        <v xml:space="preserve">
</v>
      </c>
      <c r="BE21" s="7" t="str">
        <f t="shared" si="56"/>
        <v/>
      </c>
      <c r="BF21" s="27">
        <f>DATE(Konfiguration!$B$2,6,$B21)</f>
        <v>43270</v>
      </c>
      <c r="BG21" s="28">
        <f t="shared" si="57"/>
        <v>0</v>
      </c>
      <c r="BH21" s="28">
        <f>IF(ISNA(VLOOKUP(BF21,Ferien!$A:$A,1,FALSE))=TRUE,0,1)</f>
        <v>0</v>
      </c>
      <c r="BI21" s="28">
        <f>IF(ISNA(VLOOKUP(BF21,Feiertage!$A:$A,1,FALSE))=TRUE,0,1)</f>
        <v>0</v>
      </c>
      <c r="BJ21" s="28">
        <f>IF(ISNA(VLOOKUP(BF21,Termine!$A:$A,1,FALSE))=TRUE,0,1)</f>
        <v>0</v>
      </c>
      <c r="BK21" s="28" t="str">
        <f>IF(ISNA(VLOOKUP(BF21,Aufenthalte!$A:$B,2,FALSE))=TRUE,"",VLOOKUP(BF21,Aufenthalte!$A:$B,2,FALSE))</f>
        <v>Mama</v>
      </c>
      <c r="BL21" s="25">
        <f t="shared" si="13"/>
        <v>19</v>
      </c>
      <c r="BM21" s="26">
        <f t="shared" si="14"/>
        <v>43270</v>
      </c>
      <c r="BN21" s="24" t="str">
        <f t="shared" si="15"/>
        <v/>
      </c>
      <c r="BO21" s="54" t="str">
        <f>IF(ISNA(VLOOKUP(BF21,Aufenthalte!$A:$G,7,FALSE))=TRUE,"",VLOOKUP(BF21,Aufenthalte!$A:$G,7,FALSE))</f>
        <v xml:space="preserve">
</v>
      </c>
      <c r="BP21" s="7" t="str">
        <f t="shared" si="58"/>
        <v/>
      </c>
      <c r="BQ21" s="27">
        <f>DATE(Konfiguration!$B$2,7,$B21)</f>
        <v>43300</v>
      </c>
      <c r="BR21" s="28">
        <f t="shared" si="59"/>
        <v>0</v>
      </c>
      <c r="BS21" s="28">
        <f>IF(ISNA(VLOOKUP(BQ21,Ferien!$A:$A,1,FALSE))=TRUE,0,1)</f>
        <v>1</v>
      </c>
      <c r="BT21" s="28">
        <f>IF(ISNA(VLOOKUP(BQ21,Feiertage!$A:$A,1,FALSE))=TRUE,0,1)</f>
        <v>0</v>
      </c>
      <c r="BU21" s="28">
        <f>IF(ISNA(VLOOKUP(BQ21,Termine!$A:$A,1,FALSE))=TRUE,0,1)</f>
        <v>0</v>
      </c>
      <c r="BV21" s="28" t="str">
        <f>IF(ISNA(VLOOKUP(BQ21,Aufenthalte!$A:$B,2,FALSE))=TRUE,"",VLOOKUP(BQ21,Aufenthalte!$A:$B,2,FALSE))</f>
        <v>Mama</v>
      </c>
      <c r="BW21" s="25">
        <f t="shared" si="17"/>
        <v>19</v>
      </c>
      <c r="BX21" s="26">
        <f t="shared" si="18"/>
        <v>43300</v>
      </c>
      <c r="BY21" s="24" t="str">
        <f t="shared" si="19"/>
        <v/>
      </c>
      <c r="BZ21" s="54" t="str">
        <f>IF(ISNA(VLOOKUP(BQ21,Aufenthalte!$A:$G,7,FALSE))=TRUE,"",VLOOKUP(BQ21,Aufenthalte!$A:$G,7,FALSE))</f>
        <v xml:space="preserve">
</v>
      </c>
      <c r="CA21" s="7" t="str">
        <f t="shared" si="60"/>
        <v/>
      </c>
      <c r="CB21" s="27">
        <f>DATE(Konfiguration!$B$2,8,$B21)</f>
        <v>43331</v>
      </c>
      <c r="CC21" s="28">
        <f t="shared" si="61"/>
        <v>1</v>
      </c>
      <c r="CD21" s="28">
        <f>IF(ISNA(VLOOKUP(CB21,Ferien!$A:$A,1,FALSE))=TRUE,0,1)</f>
        <v>0</v>
      </c>
      <c r="CE21" s="28">
        <f>IF(ISNA(VLOOKUP(CB21,Feiertage!$A:$A,1,FALSE))=TRUE,0,1)</f>
        <v>0</v>
      </c>
      <c r="CF21" s="28">
        <f>IF(ISNA(VLOOKUP(CB21,Termine!$A:$A,1,FALSE))=TRUE,0,1)</f>
        <v>0</v>
      </c>
      <c r="CG21" s="28" t="str">
        <f>IF(ISNA(VLOOKUP(CB21,Aufenthalte!$A:$B,2,FALSE))=TRUE,"",VLOOKUP(CB21,Aufenthalte!$A:$B,2,FALSE))</f>
        <v>Mama</v>
      </c>
      <c r="CH21" s="25">
        <f t="shared" si="21"/>
        <v>19</v>
      </c>
      <c r="CI21" s="26">
        <f t="shared" si="22"/>
        <v>43331</v>
      </c>
      <c r="CJ21" s="24" t="str">
        <f t="shared" si="23"/>
        <v/>
      </c>
      <c r="CK21" s="54" t="str">
        <f>IF(ISNA(VLOOKUP(CB21,Aufenthalte!$A:$G,7,FALSE))=TRUE,"",VLOOKUP(CB21,Aufenthalte!$A:$G,7,FALSE))</f>
        <v xml:space="preserve">
</v>
      </c>
      <c r="CL21" s="7" t="str">
        <f t="shared" si="62"/>
        <v/>
      </c>
      <c r="CM21" s="27">
        <f>DATE(Konfiguration!$B$2,9,$B21)</f>
        <v>43362</v>
      </c>
      <c r="CN21" s="28">
        <f t="shared" si="63"/>
        <v>0</v>
      </c>
      <c r="CO21" s="28">
        <f>IF(ISNA(VLOOKUP(CM21,Ferien!$A:$A,1,FALSE))=TRUE,0,1)</f>
        <v>0</v>
      </c>
      <c r="CP21" s="28">
        <f>IF(ISNA(VLOOKUP(CM21,Feiertage!$A:$A,1,FALSE))=TRUE,0,1)</f>
        <v>0</v>
      </c>
      <c r="CQ21" s="28">
        <f>IF(ISNA(VLOOKUP(CM21,Termine!$A:$A,1,FALSE))=TRUE,0,1)</f>
        <v>0</v>
      </c>
      <c r="CR21" s="28" t="str">
        <f>IF(ISNA(VLOOKUP(CM21,Aufenthalte!$A:$B,2,FALSE))=TRUE,"",VLOOKUP(CM21,Aufenthalte!$A:$B,2,FALSE))</f>
        <v>Mama</v>
      </c>
      <c r="CS21" s="25">
        <f t="shared" si="25"/>
        <v>19</v>
      </c>
      <c r="CT21" s="26">
        <f t="shared" si="26"/>
        <v>43362</v>
      </c>
      <c r="CU21" s="24" t="str">
        <f t="shared" si="27"/>
        <v/>
      </c>
      <c r="CV21" s="54" t="str">
        <f>IF(ISNA(VLOOKUP(CM21,Aufenthalte!$A:$G,7,FALSE))=TRUE,"",VLOOKUP(CM21,Aufenthalte!$A:$G,7,FALSE))</f>
        <v xml:space="preserve">
</v>
      </c>
      <c r="CW21" s="7" t="str">
        <f t="shared" si="64"/>
        <v/>
      </c>
      <c r="CX21" s="27">
        <f>DATE(Konfiguration!$B$2,10,$B21)</f>
        <v>43392</v>
      </c>
      <c r="CY21" s="28">
        <f t="shared" si="65"/>
        <v>0</v>
      </c>
      <c r="CZ21" s="28">
        <f>IF(ISNA(VLOOKUP(CX21,Ferien!$A:$A,1,FALSE))=TRUE,0,1)</f>
        <v>0</v>
      </c>
      <c r="DA21" s="28">
        <f>IF(ISNA(VLOOKUP(CX21,Feiertage!$A:$A,1,FALSE))=TRUE,0,1)</f>
        <v>0</v>
      </c>
      <c r="DB21" s="28">
        <f>IF(ISNA(VLOOKUP(CX21,Termine!$A:$A,1,FALSE))=TRUE,0,1)</f>
        <v>0</v>
      </c>
      <c r="DC21" s="28" t="str">
        <f>IF(ISNA(VLOOKUP(CX21,Aufenthalte!$A:$B,2,FALSE))=TRUE,"",VLOOKUP(CX21,Aufenthalte!$A:$B,2,FALSE))</f>
        <v>Mama</v>
      </c>
      <c r="DD21" s="25">
        <f t="shared" si="29"/>
        <v>19</v>
      </c>
      <c r="DE21" s="26">
        <f t="shared" si="30"/>
        <v>43392</v>
      </c>
      <c r="DF21" s="24" t="str">
        <f t="shared" si="31"/>
        <v/>
      </c>
      <c r="DG21" s="54" t="str">
        <f>IF(ISNA(VLOOKUP(CX21,Aufenthalte!$A:$G,7,FALSE))=TRUE,"",VLOOKUP(CX21,Aufenthalte!$A:$G,7,FALSE))</f>
        <v xml:space="preserve">
</v>
      </c>
      <c r="DH21" s="7" t="str">
        <f t="shared" si="66"/>
        <v/>
      </c>
      <c r="DI21" s="27">
        <f>DATE(Konfiguration!$B$2,11,$B21)</f>
        <v>43423</v>
      </c>
      <c r="DJ21" s="28">
        <f t="shared" si="67"/>
        <v>0</v>
      </c>
      <c r="DK21" s="28">
        <f>IF(ISNA(VLOOKUP(DI21,Ferien!$A:$A,1,FALSE))=TRUE,0,1)</f>
        <v>0</v>
      </c>
      <c r="DL21" s="28">
        <f>IF(ISNA(VLOOKUP(DI21,Feiertage!$A:$A,1,FALSE))=TRUE,0,1)</f>
        <v>0</v>
      </c>
      <c r="DM21" s="28">
        <f>IF(ISNA(VLOOKUP(DI21,Termine!$A:$A,1,FALSE))=TRUE,0,1)</f>
        <v>0</v>
      </c>
      <c r="DN21" s="28" t="str">
        <f>IF(ISNA(VLOOKUP(DI21,Aufenthalte!$A:$B,2,FALSE))=TRUE,"",VLOOKUP(DI21,Aufenthalte!$A:$B,2,FALSE))</f>
        <v>Mama</v>
      </c>
      <c r="DO21" s="25">
        <f t="shared" si="33"/>
        <v>19</v>
      </c>
      <c r="DP21" s="26">
        <f t="shared" si="34"/>
        <v>43423</v>
      </c>
      <c r="DQ21" s="24" t="str">
        <f t="shared" si="35"/>
        <v/>
      </c>
      <c r="DR21" s="54" t="str">
        <f>IF(ISNA(VLOOKUP(DI21,Aufenthalte!$A:$G,7,FALSE))=TRUE,"",VLOOKUP(DI21,Aufenthalte!$A:$G,7,FALSE))</f>
        <v xml:space="preserve">
</v>
      </c>
      <c r="DS21" s="7">
        <f t="shared" si="68"/>
        <v>47</v>
      </c>
      <c r="DT21" s="27">
        <f>DATE(Konfiguration!$B$2,12,$B21)</f>
        <v>43453</v>
      </c>
      <c r="DU21" s="28">
        <f t="shared" si="69"/>
        <v>0</v>
      </c>
      <c r="DV21" s="28">
        <f>IF(ISNA(VLOOKUP(DT21,Ferien!$A:$A,1,FALSE))=TRUE,0,1)</f>
        <v>0</v>
      </c>
      <c r="DW21" s="28">
        <f>IF(ISNA(VLOOKUP(DT21,Feiertage!$A:$A,1,FALSE))=TRUE,0,1)</f>
        <v>0</v>
      </c>
      <c r="DX21" s="28">
        <f>IF(ISNA(VLOOKUP(DT21,Termine!$A:$A,1,FALSE))=TRUE,0,1)</f>
        <v>0</v>
      </c>
      <c r="DY21" s="28" t="str">
        <f>IF(ISNA(VLOOKUP(DT21,Aufenthalte!$A:$B,2,FALSE))=TRUE,"",VLOOKUP(DT21,Aufenthalte!$A:$B,2,FALSE))</f>
        <v>Mama</v>
      </c>
      <c r="DZ21" s="25">
        <f t="shared" si="37"/>
        <v>19</v>
      </c>
      <c r="EA21" s="26">
        <f t="shared" si="38"/>
        <v>43453</v>
      </c>
      <c r="EB21" s="24" t="str">
        <f t="shared" si="39"/>
        <v/>
      </c>
      <c r="EC21" s="54" t="str">
        <f>IF(ISNA(VLOOKUP(DT21,Aufenthalte!$A:$G,7,FALSE))=TRUE,"",VLOOKUP(DT21,Aufenthalte!$A:$G,7,FALSE))</f>
        <v xml:space="preserve">
</v>
      </c>
      <c r="ED21" s="7" t="str">
        <f t="shared" si="70"/>
        <v/>
      </c>
      <c r="EE21" s="13"/>
      <c r="EF21" s="49"/>
      <c r="EG21" s="49"/>
      <c r="EH21" s="49"/>
      <c r="EI21" s="49"/>
      <c r="EJ21" s="49"/>
      <c r="EK21" s="49"/>
      <c r="EL21" s="49"/>
      <c r="EM21" s="14"/>
      <c r="EN21" s="122"/>
      <c r="EO21" s="123"/>
    </row>
    <row r="22" spans="2:145" s="1" customFormat="1" ht="21" customHeight="1">
      <c r="B22" s="8">
        <v>20</v>
      </c>
      <c r="C22" s="27">
        <f>DATE(Konfiguration!$B$2,1,$B22)</f>
        <v>43120</v>
      </c>
      <c r="D22" s="28">
        <f t="shared" si="45"/>
        <v>1</v>
      </c>
      <c r="E22" s="28">
        <f>IF(ISNA(VLOOKUP(C22,Ferien!$A:$A,1,FALSE))=TRUE,0,1)</f>
        <v>0</v>
      </c>
      <c r="F22" s="28">
        <f>IF(ISNA(VLOOKUP(C22,Feiertage!$A:$A,1,FALSE))=TRUE,0,1)</f>
        <v>0</v>
      </c>
      <c r="G22" s="28">
        <f>IF(ISNA(VLOOKUP(C22,Termine!$A:$A,1,FALSE))=TRUE,0,1)</f>
        <v>0</v>
      </c>
      <c r="H22" s="28" t="str">
        <f>IF(ISNA(VLOOKUP(C22,Aufenthalte!$A:$B,2,FALSE))=TRUE,"",VLOOKUP(C22,Aufenthalte!$A:$B,2,FALSE))</f>
        <v>Mama</v>
      </c>
      <c r="I22" s="25">
        <f t="shared" si="46"/>
        <v>20</v>
      </c>
      <c r="J22" s="26">
        <f t="shared" si="0"/>
        <v>43120</v>
      </c>
      <c r="K22" s="24" t="str">
        <f t="shared" si="47"/>
        <v/>
      </c>
      <c r="L22" s="54" t="str">
        <f>IF(ISNA(VLOOKUP(C22,Aufenthalte!$A:$G,7,FALSE))=TRUE,"",VLOOKUP(C22,Aufenthalte!$A:$G,7,FALSE))</f>
        <v xml:space="preserve">
</v>
      </c>
      <c r="M22" s="7" t="str">
        <f t="shared" si="77"/>
        <v/>
      </c>
      <c r="N22" s="27">
        <f>DATE(Konfiguration!$B$2,2,$B22)</f>
        <v>43151</v>
      </c>
      <c r="O22" s="28">
        <f t="shared" si="48"/>
        <v>0</v>
      </c>
      <c r="P22" s="28">
        <f>IF(ISNA(VLOOKUP(N22,Ferien!$A:$A,1,FALSE))=TRUE,0,1)</f>
        <v>0</v>
      </c>
      <c r="Q22" s="28">
        <f>IF(ISNA(VLOOKUP(N22,Feiertage!$A:$A,1,FALSE))=TRUE,0,1)</f>
        <v>0</v>
      </c>
      <c r="R22" s="28">
        <f>IF(ISNA(VLOOKUP(N22,Termine!$A:$A,1,FALSE))=TRUE,0,1)</f>
        <v>0</v>
      </c>
      <c r="S22" s="28" t="str">
        <f>IF(ISNA(VLOOKUP(N22,Aufenthalte!$A:$B,2,FALSE))=TRUE,"",VLOOKUP(N22,Aufenthalte!$A:$B,2,FALSE))</f>
        <v>Mama</v>
      </c>
      <c r="T22" s="25">
        <f t="shared" si="49"/>
        <v>20</v>
      </c>
      <c r="U22" s="26">
        <f t="shared" si="50"/>
        <v>43151</v>
      </c>
      <c r="V22" s="24" t="str">
        <f t="shared" si="2"/>
        <v/>
      </c>
      <c r="W22" s="54" t="str">
        <f>IF(ISNA(VLOOKUP(N22,Aufenthalte!$A:$G,7,FALSE))=TRUE,"",VLOOKUP(N22,Aufenthalte!$A:$G,7,FALSE))</f>
        <v xml:space="preserve">
</v>
      </c>
      <c r="X22" s="7" t="str">
        <f t="shared" si="51"/>
        <v/>
      </c>
      <c r="Y22" s="27">
        <f>DATE(Konfiguration!$B$2,3,$B22)</f>
        <v>43179</v>
      </c>
      <c r="Z22" s="28">
        <f t="shared" si="73"/>
        <v>0</v>
      </c>
      <c r="AA22" s="28">
        <f>IF(ISNA(VLOOKUP(Y22,Ferien!$A:$A,1,FALSE))=TRUE,0,1)</f>
        <v>0</v>
      </c>
      <c r="AB22" s="28">
        <f>IF(ISNA(VLOOKUP(Y22,Feiertage!$A:$A,1,FALSE))=TRUE,0,1)</f>
        <v>0</v>
      </c>
      <c r="AC22" s="28">
        <f>IF(ISNA(VLOOKUP(Y22,Termine!$A:$A,1,FALSE))=TRUE,0,1)</f>
        <v>0</v>
      </c>
      <c r="AD22" s="28" t="str">
        <f>IF(ISNA(VLOOKUP(Y22,Aufenthalte!$A:$B,2,FALSE))=TRUE,"",VLOOKUP(Y22,Aufenthalte!$A:$B,2,FALSE))</f>
        <v>Mama</v>
      </c>
      <c r="AE22" s="25">
        <f t="shared" si="74"/>
        <v>20</v>
      </c>
      <c r="AF22" s="26">
        <f t="shared" si="75"/>
        <v>43179</v>
      </c>
      <c r="AG22" s="24" t="str">
        <f t="shared" si="76"/>
        <v/>
      </c>
      <c r="AH22" s="54" t="str">
        <f>IF(ISNA(VLOOKUP(Y22,Aufenthalte!$A:$G,7,FALSE))=TRUE,"",VLOOKUP(Y22,Aufenthalte!$A:$G,7,FALSE))</f>
        <v xml:space="preserve">
</v>
      </c>
      <c r="AI22" s="7" t="str">
        <f t="shared" si="52"/>
        <v/>
      </c>
      <c r="AJ22" s="27">
        <f>DATE(Konfiguration!$B$2,4,$B22)</f>
        <v>43210</v>
      </c>
      <c r="AK22" s="28">
        <f t="shared" si="53"/>
        <v>0</v>
      </c>
      <c r="AL22" s="28">
        <f>IF(ISNA(VLOOKUP(AJ22,Ferien!$A:$A,1,FALSE))=TRUE,0,1)</f>
        <v>0</v>
      </c>
      <c r="AM22" s="28">
        <f>IF(ISNA(VLOOKUP(AJ22,Feiertage!$A:$A,1,FALSE))=TRUE,0,1)</f>
        <v>0</v>
      </c>
      <c r="AN22" s="28">
        <f>IF(ISNA(VLOOKUP(AJ22,Termine!$A:$A,1,FALSE))=TRUE,0,1)</f>
        <v>0</v>
      </c>
      <c r="AO22" s="28" t="str">
        <f>IF(ISNA(VLOOKUP(AJ22,Aufenthalte!$A:$B,2,FALSE))=TRUE,"",VLOOKUP(AJ22,Aufenthalte!$A:$B,2,FALSE))</f>
        <v>Mama</v>
      </c>
      <c r="AP22" s="25">
        <f t="shared" si="5"/>
        <v>20</v>
      </c>
      <c r="AQ22" s="26">
        <f t="shared" si="6"/>
        <v>43210</v>
      </c>
      <c r="AR22" s="24" t="str">
        <f t="shared" si="7"/>
        <v/>
      </c>
      <c r="AS22" s="54" t="str">
        <f>IF(ISNA(VLOOKUP(AJ22,Aufenthalte!$A:$G,7,FALSE))=TRUE,"",VLOOKUP(AJ22,Aufenthalte!$A:$G,7,FALSE))</f>
        <v xml:space="preserve">
</v>
      </c>
      <c r="AT22" s="7" t="str">
        <f t="shared" si="54"/>
        <v/>
      </c>
      <c r="AU22" s="27">
        <f>DATE(Konfiguration!$B$2,5,$B22)</f>
        <v>43240</v>
      </c>
      <c r="AV22" s="28">
        <f t="shared" si="55"/>
        <v>1</v>
      </c>
      <c r="AW22" s="28">
        <f>IF(ISNA(VLOOKUP(AU22,Ferien!$A:$A,1,FALSE))=TRUE,0,1)</f>
        <v>0</v>
      </c>
      <c r="AX22" s="28">
        <f>IF(ISNA(VLOOKUP(AU22,Feiertage!$A:$A,1,FALSE))=TRUE,0,1)</f>
        <v>0</v>
      </c>
      <c r="AY22" s="28">
        <f>IF(ISNA(VLOOKUP(AU22,Termine!$A:$A,1,FALSE))=TRUE,0,1)</f>
        <v>0</v>
      </c>
      <c r="AZ22" s="28" t="str">
        <f>IF(ISNA(VLOOKUP(AU22,Aufenthalte!$A:$B,2,FALSE))=TRUE,"",VLOOKUP(AU22,Aufenthalte!$A:$B,2,FALSE))</f>
        <v>Mama</v>
      </c>
      <c r="BA22" s="25">
        <f t="shared" si="9"/>
        <v>20</v>
      </c>
      <c r="BB22" s="26">
        <f t="shared" si="10"/>
        <v>43240</v>
      </c>
      <c r="BC22" s="24" t="str">
        <f t="shared" si="11"/>
        <v/>
      </c>
      <c r="BD22" s="54" t="str">
        <f>IF(ISNA(VLOOKUP(AU22,Aufenthalte!$A:$G,7,FALSE))=TRUE,"",VLOOKUP(AU22,Aufenthalte!$A:$G,7,FALSE))</f>
        <v xml:space="preserve">
</v>
      </c>
      <c r="BE22" s="7" t="str">
        <f t="shared" si="56"/>
        <v/>
      </c>
      <c r="BF22" s="27">
        <f>DATE(Konfiguration!$B$2,6,$B22)</f>
        <v>43271</v>
      </c>
      <c r="BG22" s="28">
        <f t="shared" si="57"/>
        <v>0</v>
      </c>
      <c r="BH22" s="28">
        <f>IF(ISNA(VLOOKUP(BF22,Ferien!$A:$A,1,FALSE))=TRUE,0,1)</f>
        <v>0</v>
      </c>
      <c r="BI22" s="28">
        <f>IF(ISNA(VLOOKUP(BF22,Feiertage!$A:$A,1,FALSE))=TRUE,0,1)</f>
        <v>0</v>
      </c>
      <c r="BJ22" s="28">
        <f>IF(ISNA(VLOOKUP(BF22,Termine!$A:$A,1,FALSE))=TRUE,0,1)</f>
        <v>0</v>
      </c>
      <c r="BK22" s="28" t="str">
        <f>IF(ISNA(VLOOKUP(BF22,Aufenthalte!$A:$B,2,FALSE))=TRUE,"",VLOOKUP(BF22,Aufenthalte!$A:$B,2,FALSE))</f>
        <v>Mama</v>
      </c>
      <c r="BL22" s="25">
        <f t="shared" si="13"/>
        <v>20</v>
      </c>
      <c r="BM22" s="26">
        <f t="shared" si="14"/>
        <v>43271</v>
      </c>
      <c r="BN22" s="24" t="str">
        <f t="shared" si="15"/>
        <v/>
      </c>
      <c r="BO22" s="54" t="str">
        <f>IF(ISNA(VLOOKUP(BF22,Aufenthalte!$A:$G,7,FALSE))=TRUE,"",VLOOKUP(BF22,Aufenthalte!$A:$G,7,FALSE))</f>
        <v xml:space="preserve">
</v>
      </c>
      <c r="BP22" s="7" t="str">
        <f t="shared" si="58"/>
        <v/>
      </c>
      <c r="BQ22" s="27">
        <f>DATE(Konfiguration!$B$2,7,$B22)</f>
        <v>43301</v>
      </c>
      <c r="BR22" s="28">
        <f t="shared" si="59"/>
        <v>0</v>
      </c>
      <c r="BS22" s="28">
        <f>IF(ISNA(VLOOKUP(BQ22,Ferien!$A:$A,1,FALSE))=TRUE,0,1)</f>
        <v>1</v>
      </c>
      <c r="BT22" s="28">
        <f>IF(ISNA(VLOOKUP(BQ22,Feiertage!$A:$A,1,FALSE))=TRUE,0,1)</f>
        <v>0</v>
      </c>
      <c r="BU22" s="28">
        <f>IF(ISNA(VLOOKUP(BQ22,Termine!$A:$A,1,FALSE))=TRUE,0,1)</f>
        <v>0</v>
      </c>
      <c r="BV22" s="28" t="str">
        <f>IF(ISNA(VLOOKUP(BQ22,Aufenthalte!$A:$B,2,FALSE))=TRUE,"",VLOOKUP(BQ22,Aufenthalte!$A:$B,2,FALSE))</f>
        <v>Mama</v>
      </c>
      <c r="BW22" s="25">
        <f t="shared" si="17"/>
        <v>20</v>
      </c>
      <c r="BX22" s="26">
        <f t="shared" si="18"/>
        <v>43301</v>
      </c>
      <c r="BY22" s="24" t="str">
        <f t="shared" si="19"/>
        <v/>
      </c>
      <c r="BZ22" s="54" t="str">
        <f>IF(ISNA(VLOOKUP(BQ22,Aufenthalte!$A:$G,7,FALSE))=TRUE,"",VLOOKUP(BQ22,Aufenthalte!$A:$G,7,FALSE))</f>
        <v xml:space="preserve">
</v>
      </c>
      <c r="CA22" s="7" t="str">
        <f t="shared" si="60"/>
        <v/>
      </c>
      <c r="CB22" s="27">
        <f>DATE(Konfiguration!$B$2,8,$B22)</f>
        <v>43332</v>
      </c>
      <c r="CC22" s="28">
        <f t="shared" si="61"/>
        <v>0</v>
      </c>
      <c r="CD22" s="28">
        <f>IF(ISNA(VLOOKUP(CB22,Ferien!$A:$A,1,FALSE))=TRUE,0,1)</f>
        <v>0</v>
      </c>
      <c r="CE22" s="28">
        <f>IF(ISNA(VLOOKUP(CB22,Feiertage!$A:$A,1,FALSE))=TRUE,0,1)</f>
        <v>0</v>
      </c>
      <c r="CF22" s="28">
        <f>IF(ISNA(VLOOKUP(CB22,Termine!$A:$A,1,FALSE))=TRUE,0,1)</f>
        <v>0</v>
      </c>
      <c r="CG22" s="28" t="str">
        <f>IF(ISNA(VLOOKUP(CB22,Aufenthalte!$A:$B,2,FALSE))=TRUE,"",VLOOKUP(CB22,Aufenthalte!$A:$B,2,FALSE))</f>
        <v>Mama</v>
      </c>
      <c r="CH22" s="25">
        <f t="shared" si="21"/>
        <v>20</v>
      </c>
      <c r="CI22" s="26">
        <f t="shared" si="22"/>
        <v>43332</v>
      </c>
      <c r="CJ22" s="24" t="str">
        <f t="shared" si="23"/>
        <v/>
      </c>
      <c r="CK22" s="54" t="str">
        <f>IF(ISNA(VLOOKUP(CB22,Aufenthalte!$A:$G,7,FALSE))=TRUE,"",VLOOKUP(CB22,Aufenthalte!$A:$G,7,FALSE))</f>
        <v xml:space="preserve">
</v>
      </c>
      <c r="CL22" s="7">
        <f t="shared" si="62"/>
        <v>34</v>
      </c>
      <c r="CM22" s="27">
        <f>DATE(Konfiguration!$B$2,9,$B22)</f>
        <v>43363</v>
      </c>
      <c r="CN22" s="28">
        <f t="shared" si="63"/>
        <v>0</v>
      </c>
      <c r="CO22" s="28">
        <f>IF(ISNA(VLOOKUP(CM22,Ferien!$A:$A,1,FALSE))=TRUE,0,1)</f>
        <v>0</v>
      </c>
      <c r="CP22" s="28">
        <f>IF(ISNA(VLOOKUP(CM22,Feiertage!$A:$A,1,FALSE))=TRUE,0,1)</f>
        <v>0</v>
      </c>
      <c r="CQ22" s="28">
        <f>IF(ISNA(VLOOKUP(CM22,Termine!$A:$A,1,FALSE))=TRUE,0,1)</f>
        <v>0</v>
      </c>
      <c r="CR22" s="28" t="str">
        <f>IF(ISNA(VLOOKUP(CM22,Aufenthalte!$A:$B,2,FALSE))=TRUE,"",VLOOKUP(CM22,Aufenthalte!$A:$B,2,FALSE))</f>
        <v>Mama</v>
      </c>
      <c r="CS22" s="25">
        <f t="shared" si="25"/>
        <v>20</v>
      </c>
      <c r="CT22" s="26">
        <f t="shared" si="26"/>
        <v>43363</v>
      </c>
      <c r="CU22" s="24" t="str">
        <f t="shared" si="27"/>
        <v/>
      </c>
      <c r="CV22" s="54" t="str">
        <f>IF(ISNA(VLOOKUP(CM22,Aufenthalte!$A:$G,7,FALSE))=TRUE,"",VLOOKUP(CM22,Aufenthalte!$A:$G,7,FALSE))</f>
        <v xml:space="preserve">
</v>
      </c>
      <c r="CW22" s="7" t="str">
        <f t="shared" si="64"/>
        <v/>
      </c>
      <c r="CX22" s="27">
        <f>DATE(Konfiguration!$B$2,10,$B22)</f>
        <v>43393</v>
      </c>
      <c r="CY22" s="28">
        <f t="shared" si="65"/>
        <v>1</v>
      </c>
      <c r="CZ22" s="28">
        <f>IF(ISNA(VLOOKUP(CX22,Ferien!$A:$A,1,FALSE))=TRUE,0,1)</f>
        <v>0</v>
      </c>
      <c r="DA22" s="28">
        <f>IF(ISNA(VLOOKUP(CX22,Feiertage!$A:$A,1,FALSE))=TRUE,0,1)</f>
        <v>0</v>
      </c>
      <c r="DB22" s="28">
        <f>IF(ISNA(VLOOKUP(CX22,Termine!$A:$A,1,FALSE))=TRUE,0,1)</f>
        <v>0</v>
      </c>
      <c r="DC22" s="28" t="str">
        <f>IF(ISNA(VLOOKUP(CX22,Aufenthalte!$A:$B,2,FALSE))=TRUE,"",VLOOKUP(CX22,Aufenthalte!$A:$B,2,FALSE))</f>
        <v>Mama</v>
      </c>
      <c r="DD22" s="25">
        <f t="shared" si="29"/>
        <v>20</v>
      </c>
      <c r="DE22" s="26">
        <f t="shared" si="30"/>
        <v>43393</v>
      </c>
      <c r="DF22" s="24" t="str">
        <f t="shared" si="31"/>
        <v/>
      </c>
      <c r="DG22" s="54" t="str">
        <f>IF(ISNA(VLOOKUP(CX22,Aufenthalte!$A:$G,7,FALSE))=TRUE,"",VLOOKUP(CX22,Aufenthalte!$A:$G,7,FALSE))</f>
        <v xml:space="preserve">
</v>
      </c>
      <c r="DH22" s="7" t="str">
        <f t="shared" si="66"/>
        <v/>
      </c>
      <c r="DI22" s="27">
        <f>DATE(Konfiguration!$B$2,11,$B22)</f>
        <v>43424</v>
      </c>
      <c r="DJ22" s="28">
        <f t="shared" si="67"/>
        <v>0</v>
      </c>
      <c r="DK22" s="28">
        <f>IF(ISNA(VLOOKUP(DI22,Ferien!$A:$A,1,FALSE))=TRUE,0,1)</f>
        <v>0</v>
      </c>
      <c r="DL22" s="28">
        <f>IF(ISNA(VLOOKUP(DI22,Feiertage!$A:$A,1,FALSE))=TRUE,0,1)</f>
        <v>0</v>
      </c>
      <c r="DM22" s="28">
        <f>IF(ISNA(VLOOKUP(DI22,Termine!$A:$A,1,FALSE))=TRUE,0,1)</f>
        <v>0</v>
      </c>
      <c r="DN22" s="28" t="str">
        <f>IF(ISNA(VLOOKUP(DI22,Aufenthalte!$A:$B,2,FALSE))=TRUE,"",VLOOKUP(DI22,Aufenthalte!$A:$B,2,FALSE))</f>
        <v>Mama</v>
      </c>
      <c r="DO22" s="25">
        <f t="shared" si="33"/>
        <v>20</v>
      </c>
      <c r="DP22" s="26">
        <f t="shared" si="34"/>
        <v>43424</v>
      </c>
      <c r="DQ22" s="24" t="str">
        <f t="shared" si="35"/>
        <v/>
      </c>
      <c r="DR22" s="54" t="str">
        <f>IF(ISNA(VLOOKUP(DI22,Aufenthalte!$A:$G,7,FALSE))=TRUE,"",VLOOKUP(DI22,Aufenthalte!$A:$G,7,FALSE))</f>
        <v xml:space="preserve">
</v>
      </c>
      <c r="DS22" s="7" t="str">
        <f t="shared" si="68"/>
        <v/>
      </c>
      <c r="DT22" s="27">
        <f>DATE(Konfiguration!$B$2,12,$B22)</f>
        <v>43454</v>
      </c>
      <c r="DU22" s="28">
        <f t="shared" si="69"/>
        <v>0</v>
      </c>
      <c r="DV22" s="28">
        <f>IF(ISNA(VLOOKUP(DT22,Ferien!$A:$A,1,FALSE))=TRUE,0,1)</f>
        <v>1</v>
      </c>
      <c r="DW22" s="28">
        <f>IF(ISNA(VLOOKUP(DT22,Feiertage!$A:$A,1,FALSE))=TRUE,0,1)</f>
        <v>0</v>
      </c>
      <c r="DX22" s="28">
        <f>IF(ISNA(VLOOKUP(DT22,Termine!$A:$A,1,FALSE))=TRUE,0,1)</f>
        <v>0</v>
      </c>
      <c r="DY22" s="28" t="str">
        <f>IF(ISNA(VLOOKUP(DT22,Aufenthalte!$A:$B,2,FALSE))=TRUE,"",VLOOKUP(DT22,Aufenthalte!$A:$B,2,FALSE))</f>
        <v>Mama</v>
      </c>
      <c r="DZ22" s="25">
        <f t="shared" si="37"/>
        <v>20</v>
      </c>
      <c r="EA22" s="26">
        <f t="shared" si="38"/>
        <v>43454</v>
      </c>
      <c r="EB22" s="24" t="str">
        <f t="shared" si="39"/>
        <v/>
      </c>
      <c r="EC22" s="54" t="str">
        <f>IF(ISNA(VLOOKUP(DT22,Aufenthalte!$A:$G,7,FALSE))=TRUE,"",VLOOKUP(DT22,Aufenthalte!$A:$G,7,FALSE))</f>
        <v xml:space="preserve">
</v>
      </c>
      <c r="ED22" s="7" t="str">
        <f t="shared" si="70"/>
        <v/>
      </c>
      <c r="EE22" s="13"/>
      <c r="EF22" s="49"/>
      <c r="EG22" s="49"/>
      <c r="EH22" s="49"/>
      <c r="EI22" s="49"/>
      <c r="EJ22" s="49"/>
      <c r="EK22" s="49"/>
      <c r="EL22" s="49"/>
      <c r="EM22" s="14"/>
      <c r="EN22" s="122"/>
      <c r="EO22" s="123"/>
    </row>
    <row r="23" spans="2:145" s="1" customFormat="1" ht="21" customHeight="1">
      <c r="B23" s="8">
        <v>21</v>
      </c>
      <c r="C23" s="27">
        <f>DATE(Konfiguration!$B$2,1,$B23)</f>
        <v>43121</v>
      </c>
      <c r="D23" s="28">
        <f t="shared" si="45"/>
        <v>1</v>
      </c>
      <c r="E23" s="28">
        <f>IF(ISNA(VLOOKUP(C23,Ferien!$A:$A,1,FALSE))=TRUE,0,1)</f>
        <v>0</v>
      </c>
      <c r="F23" s="28">
        <f>IF(ISNA(VLOOKUP(C23,Feiertage!$A:$A,1,FALSE))=TRUE,0,1)</f>
        <v>0</v>
      </c>
      <c r="G23" s="28">
        <f>IF(ISNA(VLOOKUP(C23,Termine!$A:$A,1,FALSE))=TRUE,0,1)</f>
        <v>0</v>
      </c>
      <c r="H23" s="28" t="str">
        <f>IF(ISNA(VLOOKUP(C23,Aufenthalte!$A:$B,2,FALSE))=TRUE,"",VLOOKUP(C23,Aufenthalte!$A:$B,2,FALSE))</f>
        <v>Mama</v>
      </c>
      <c r="I23" s="25">
        <f t="shared" si="46"/>
        <v>21</v>
      </c>
      <c r="J23" s="26">
        <f t="shared" si="0"/>
        <v>43121</v>
      </c>
      <c r="K23" s="24" t="str">
        <f t="shared" si="47"/>
        <v/>
      </c>
      <c r="L23" s="54" t="str">
        <f>IF(ISNA(VLOOKUP(C23,Aufenthalte!$A:$G,7,FALSE))=TRUE,"",VLOOKUP(C23,Aufenthalte!$A:$G,7,FALSE))</f>
        <v xml:space="preserve">
</v>
      </c>
      <c r="M23" s="7" t="str">
        <f t="shared" si="77"/>
        <v/>
      </c>
      <c r="N23" s="27">
        <f>DATE(Konfiguration!$B$2,2,$B23)</f>
        <v>43152</v>
      </c>
      <c r="O23" s="28">
        <f t="shared" si="48"/>
        <v>0</v>
      </c>
      <c r="P23" s="28">
        <f>IF(ISNA(VLOOKUP(N23,Ferien!$A:$A,1,FALSE))=TRUE,0,1)</f>
        <v>0</v>
      </c>
      <c r="Q23" s="28">
        <f>IF(ISNA(VLOOKUP(N23,Feiertage!$A:$A,1,FALSE))=TRUE,0,1)</f>
        <v>0</v>
      </c>
      <c r="R23" s="28">
        <f>IF(ISNA(VLOOKUP(N23,Termine!$A:$A,1,FALSE))=TRUE,0,1)</f>
        <v>0</v>
      </c>
      <c r="S23" s="28" t="str">
        <f>IF(ISNA(VLOOKUP(N23,Aufenthalte!$A:$B,2,FALSE))=TRUE,"",VLOOKUP(N23,Aufenthalte!$A:$B,2,FALSE))</f>
        <v>Mama</v>
      </c>
      <c r="T23" s="25">
        <f t="shared" si="49"/>
        <v>21</v>
      </c>
      <c r="U23" s="26">
        <f t="shared" si="50"/>
        <v>43152</v>
      </c>
      <c r="V23" s="24" t="str">
        <f t="shared" si="2"/>
        <v/>
      </c>
      <c r="W23" s="54" t="str">
        <f>IF(ISNA(VLOOKUP(N23,Aufenthalte!$A:$G,7,FALSE))=TRUE,"",VLOOKUP(N23,Aufenthalte!$A:$G,7,FALSE))</f>
        <v xml:space="preserve">
</v>
      </c>
      <c r="X23" s="7" t="str">
        <f t="shared" si="51"/>
        <v/>
      </c>
      <c r="Y23" s="27">
        <f>DATE(Konfiguration!$B$2,3,$B23)</f>
        <v>43180</v>
      </c>
      <c r="Z23" s="28">
        <f t="shared" si="73"/>
        <v>0</v>
      </c>
      <c r="AA23" s="28">
        <f>IF(ISNA(VLOOKUP(Y23,Ferien!$A:$A,1,FALSE))=TRUE,0,1)</f>
        <v>0</v>
      </c>
      <c r="AB23" s="28">
        <f>IF(ISNA(VLOOKUP(Y23,Feiertage!$A:$A,1,FALSE))=TRUE,0,1)</f>
        <v>0</v>
      </c>
      <c r="AC23" s="28">
        <f>IF(ISNA(VLOOKUP(Y23,Termine!$A:$A,1,FALSE))=TRUE,0,1)</f>
        <v>0</v>
      </c>
      <c r="AD23" s="28" t="str">
        <f>IF(ISNA(VLOOKUP(Y23,Aufenthalte!$A:$B,2,FALSE))=TRUE,"",VLOOKUP(Y23,Aufenthalte!$A:$B,2,FALSE))</f>
        <v>Mama</v>
      </c>
      <c r="AE23" s="25">
        <f t="shared" si="74"/>
        <v>21</v>
      </c>
      <c r="AF23" s="26">
        <f t="shared" si="75"/>
        <v>43180</v>
      </c>
      <c r="AG23" s="24" t="str">
        <f t="shared" si="76"/>
        <v/>
      </c>
      <c r="AH23" s="54" t="str">
        <f>IF(ISNA(VLOOKUP(Y23,Aufenthalte!$A:$G,7,FALSE))=TRUE,"",VLOOKUP(Y23,Aufenthalte!$A:$G,7,FALSE))</f>
        <v xml:space="preserve">
</v>
      </c>
      <c r="AI23" s="7" t="str">
        <f t="shared" si="52"/>
        <v/>
      </c>
      <c r="AJ23" s="27">
        <f>DATE(Konfiguration!$B$2,4,$B23)</f>
        <v>43211</v>
      </c>
      <c r="AK23" s="28">
        <f t="shared" si="53"/>
        <v>1</v>
      </c>
      <c r="AL23" s="28">
        <f>IF(ISNA(VLOOKUP(AJ23,Ferien!$A:$A,1,FALSE))=TRUE,0,1)</f>
        <v>0</v>
      </c>
      <c r="AM23" s="28">
        <f>IF(ISNA(VLOOKUP(AJ23,Feiertage!$A:$A,1,FALSE))=TRUE,0,1)</f>
        <v>0</v>
      </c>
      <c r="AN23" s="28">
        <f>IF(ISNA(VLOOKUP(AJ23,Termine!$A:$A,1,FALSE))=TRUE,0,1)</f>
        <v>0</v>
      </c>
      <c r="AO23" s="28" t="str">
        <f>IF(ISNA(VLOOKUP(AJ23,Aufenthalte!$A:$B,2,FALSE))=TRUE,"",VLOOKUP(AJ23,Aufenthalte!$A:$B,2,FALSE))</f>
        <v>Mama</v>
      </c>
      <c r="AP23" s="25">
        <f t="shared" si="5"/>
        <v>21</v>
      </c>
      <c r="AQ23" s="26">
        <f t="shared" si="6"/>
        <v>43211</v>
      </c>
      <c r="AR23" s="24" t="str">
        <f t="shared" si="7"/>
        <v/>
      </c>
      <c r="AS23" s="54" t="str">
        <f>IF(ISNA(VLOOKUP(AJ23,Aufenthalte!$A:$G,7,FALSE))=TRUE,"",VLOOKUP(AJ23,Aufenthalte!$A:$G,7,FALSE))</f>
        <v xml:space="preserve">
</v>
      </c>
      <c r="AT23" s="7" t="str">
        <f t="shared" si="54"/>
        <v/>
      </c>
      <c r="AU23" s="27">
        <f>DATE(Konfiguration!$B$2,5,$B23)</f>
        <v>43241</v>
      </c>
      <c r="AV23" s="28">
        <f t="shared" si="55"/>
        <v>0</v>
      </c>
      <c r="AW23" s="28">
        <f>IF(ISNA(VLOOKUP(AU23,Ferien!$A:$A,1,FALSE))=TRUE,0,1)</f>
        <v>0</v>
      </c>
      <c r="AX23" s="28">
        <f>IF(ISNA(VLOOKUP(AU23,Feiertage!$A:$A,1,FALSE))=TRUE,0,1)</f>
        <v>1</v>
      </c>
      <c r="AY23" s="28">
        <f>IF(ISNA(VLOOKUP(AU23,Termine!$A:$A,1,FALSE))=TRUE,0,1)</f>
        <v>0</v>
      </c>
      <c r="AZ23" s="28" t="str">
        <f>IF(ISNA(VLOOKUP(AU23,Aufenthalte!$A:$B,2,FALSE))=TRUE,"",VLOOKUP(AU23,Aufenthalte!$A:$B,2,FALSE))</f>
        <v>Mama</v>
      </c>
      <c r="BA23" s="25">
        <f t="shared" si="9"/>
        <v>21</v>
      </c>
      <c r="BB23" s="26">
        <f t="shared" si="10"/>
        <v>43241</v>
      </c>
      <c r="BC23" s="24" t="str">
        <f t="shared" si="11"/>
        <v/>
      </c>
      <c r="BD23" s="54" t="str">
        <f>IF(ISNA(VLOOKUP(AU23,Aufenthalte!$A:$G,7,FALSE))=TRUE,"",VLOOKUP(AU23,Aufenthalte!$A:$G,7,FALSE))</f>
        <v xml:space="preserve">
</v>
      </c>
      <c r="BE23" s="7">
        <f t="shared" si="56"/>
        <v>21</v>
      </c>
      <c r="BF23" s="27">
        <f>DATE(Konfiguration!$B$2,6,$B23)</f>
        <v>43272</v>
      </c>
      <c r="BG23" s="28">
        <f t="shared" si="57"/>
        <v>0</v>
      </c>
      <c r="BH23" s="28">
        <f>IF(ISNA(VLOOKUP(BF23,Ferien!$A:$A,1,FALSE))=TRUE,0,1)</f>
        <v>0</v>
      </c>
      <c r="BI23" s="28">
        <f>IF(ISNA(VLOOKUP(BF23,Feiertage!$A:$A,1,FALSE))=TRUE,0,1)</f>
        <v>0</v>
      </c>
      <c r="BJ23" s="28">
        <f>IF(ISNA(VLOOKUP(BF23,Termine!$A:$A,1,FALSE))=TRUE,0,1)</f>
        <v>0</v>
      </c>
      <c r="BK23" s="28" t="str">
        <f>IF(ISNA(VLOOKUP(BF23,Aufenthalte!$A:$B,2,FALSE))=TRUE,"",VLOOKUP(BF23,Aufenthalte!$A:$B,2,FALSE))</f>
        <v>Mama</v>
      </c>
      <c r="BL23" s="25">
        <f t="shared" si="13"/>
        <v>21</v>
      </c>
      <c r="BM23" s="26">
        <f t="shared" si="14"/>
        <v>43272</v>
      </c>
      <c r="BN23" s="24" t="str">
        <f t="shared" si="15"/>
        <v/>
      </c>
      <c r="BO23" s="54" t="str">
        <f>IF(ISNA(VLOOKUP(BF23,Aufenthalte!$A:$G,7,FALSE))=TRUE,"",VLOOKUP(BF23,Aufenthalte!$A:$G,7,FALSE))</f>
        <v xml:space="preserve">
</v>
      </c>
      <c r="BP23" s="7" t="str">
        <f t="shared" si="58"/>
        <v/>
      </c>
      <c r="BQ23" s="27">
        <f>DATE(Konfiguration!$B$2,7,$B23)</f>
        <v>43302</v>
      </c>
      <c r="BR23" s="28">
        <f t="shared" si="59"/>
        <v>1</v>
      </c>
      <c r="BS23" s="28">
        <f>IF(ISNA(VLOOKUP(BQ23,Ferien!$A:$A,1,FALSE))=TRUE,0,1)</f>
        <v>1</v>
      </c>
      <c r="BT23" s="28">
        <f>IF(ISNA(VLOOKUP(BQ23,Feiertage!$A:$A,1,FALSE))=TRUE,0,1)</f>
        <v>0</v>
      </c>
      <c r="BU23" s="28">
        <f>IF(ISNA(VLOOKUP(BQ23,Termine!$A:$A,1,FALSE))=TRUE,0,1)</f>
        <v>0</v>
      </c>
      <c r="BV23" s="28" t="str">
        <f>IF(ISNA(VLOOKUP(BQ23,Aufenthalte!$A:$B,2,FALSE))=TRUE,"",VLOOKUP(BQ23,Aufenthalte!$A:$B,2,FALSE))</f>
        <v>Mama</v>
      </c>
      <c r="BW23" s="25">
        <f t="shared" si="17"/>
        <v>21</v>
      </c>
      <c r="BX23" s="26">
        <f t="shared" si="18"/>
        <v>43302</v>
      </c>
      <c r="BY23" s="24" t="str">
        <f t="shared" si="19"/>
        <v/>
      </c>
      <c r="BZ23" s="54" t="str">
        <f>IF(ISNA(VLOOKUP(BQ23,Aufenthalte!$A:$G,7,FALSE))=TRUE,"",VLOOKUP(BQ23,Aufenthalte!$A:$G,7,FALSE))</f>
        <v xml:space="preserve">
</v>
      </c>
      <c r="CA23" s="7" t="str">
        <f t="shared" si="60"/>
        <v/>
      </c>
      <c r="CB23" s="27">
        <f>DATE(Konfiguration!$B$2,8,$B23)</f>
        <v>43333</v>
      </c>
      <c r="CC23" s="28">
        <f t="shared" si="61"/>
        <v>0</v>
      </c>
      <c r="CD23" s="28">
        <f>IF(ISNA(VLOOKUP(CB23,Ferien!$A:$A,1,FALSE))=TRUE,0,1)</f>
        <v>0</v>
      </c>
      <c r="CE23" s="28">
        <f>IF(ISNA(VLOOKUP(CB23,Feiertage!$A:$A,1,FALSE))=TRUE,0,1)</f>
        <v>0</v>
      </c>
      <c r="CF23" s="28">
        <f>IF(ISNA(VLOOKUP(CB23,Termine!$A:$A,1,FALSE))=TRUE,0,1)</f>
        <v>0</v>
      </c>
      <c r="CG23" s="28" t="str">
        <f>IF(ISNA(VLOOKUP(CB23,Aufenthalte!$A:$B,2,FALSE))=TRUE,"",VLOOKUP(CB23,Aufenthalte!$A:$B,2,FALSE))</f>
        <v>Mama</v>
      </c>
      <c r="CH23" s="25">
        <f t="shared" si="21"/>
        <v>21</v>
      </c>
      <c r="CI23" s="26">
        <f t="shared" si="22"/>
        <v>43333</v>
      </c>
      <c r="CJ23" s="24" t="str">
        <f t="shared" si="23"/>
        <v/>
      </c>
      <c r="CK23" s="54" t="str">
        <f>IF(ISNA(VLOOKUP(CB23,Aufenthalte!$A:$G,7,FALSE))=TRUE,"",VLOOKUP(CB23,Aufenthalte!$A:$G,7,FALSE))</f>
        <v xml:space="preserve">
</v>
      </c>
      <c r="CL23" s="7" t="str">
        <f t="shared" si="62"/>
        <v/>
      </c>
      <c r="CM23" s="27">
        <f>DATE(Konfiguration!$B$2,9,$B23)</f>
        <v>43364</v>
      </c>
      <c r="CN23" s="28">
        <f t="shared" si="63"/>
        <v>0</v>
      </c>
      <c r="CO23" s="28">
        <f>IF(ISNA(VLOOKUP(CM23,Ferien!$A:$A,1,FALSE))=TRUE,0,1)</f>
        <v>0</v>
      </c>
      <c r="CP23" s="28">
        <f>IF(ISNA(VLOOKUP(CM23,Feiertage!$A:$A,1,FALSE))=TRUE,0,1)</f>
        <v>0</v>
      </c>
      <c r="CQ23" s="28">
        <f>IF(ISNA(VLOOKUP(CM23,Termine!$A:$A,1,FALSE))=TRUE,0,1)</f>
        <v>0</v>
      </c>
      <c r="CR23" s="28" t="str">
        <f>IF(ISNA(VLOOKUP(CM23,Aufenthalte!$A:$B,2,FALSE))=TRUE,"",VLOOKUP(CM23,Aufenthalte!$A:$B,2,FALSE))</f>
        <v>Mama</v>
      </c>
      <c r="CS23" s="25">
        <f t="shared" si="25"/>
        <v>21</v>
      </c>
      <c r="CT23" s="26">
        <f t="shared" si="26"/>
        <v>43364</v>
      </c>
      <c r="CU23" s="24" t="str">
        <f t="shared" si="27"/>
        <v/>
      </c>
      <c r="CV23" s="54" t="str">
        <f>IF(ISNA(VLOOKUP(CM23,Aufenthalte!$A:$G,7,FALSE))=TRUE,"",VLOOKUP(CM23,Aufenthalte!$A:$G,7,FALSE))</f>
        <v xml:space="preserve">
</v>
      </c>
      <c r="CW23" s="7" t="str">
        <f t="shared" si="64"/>
        <v/>
      </c>
      <c r="CX23" s="27">
        <f>DATE(Konfiguration!$B$2,10,$B23)</f>
        <v>43394</v>
      </c>
      <c r="CY23" s="28">
        <f t="shared" si="65"/>
        <v>1</v>
      </c>
      <c r="CZ23" s="28">
        <f>IF(ISNA(VLOOKUP(CX23,Ferien!$A:$A,1,FALSE))=TRUE,0,1)</f>
        <v>0</v>
      </c>
      <c r="DA23" s="28">
        <f>IF(ISNA(VLOOKUP(CX23,Feiertage!$A:$A,1,FALSE))=TRUE,0,1)</f>
        <v>0</v>
      </c>
      <c r="DB23" s="28">
        <f>IF(ISNA(VLOOKUP(CX23,Termine!$A:$A,1,FALSE))=TRUE,0,1)</f>
        <v>0</v>
      </c>
      <c r="DC23" s="28" t="str">
        <f>IF(ISNA(VLOOKUP(CX23,Aufenthalte!$A:$B,2,FALSE))=TRUE,"",VLOOKUP(CX23,Aufenthalte!$A:$B,2,FALSE))</f>
        <v>Mama</v>
      </c>
      <c r="DD23" s="25">
        <f t="shared" si="29"/>
        <v>21</v>
      </c>
      <c r="DE23" s="26">
        <f t="shared" si="30"/>
        <v>43394</v>
      </c>
      <c r="DF23" s="24" t="str">
        <f t="shared" si="31"/>
        <v/>
      </c>
      <c r="DG23" s="54" t="str">
        <f>IF(ISNA(VLOOKUP(CX23,Aufenthalte!$A:$G,7,FALSE))=TRUE,"",VLOOKUP(CX23,Aufenthalte!$A:$G,7,FALSE))</f>
        <v xml:space="preserve">
</v>
      </c>
      <c r="DH23" s="7" t="str">
        <f t="shared" si="66"/>
        <v/>
      </c>
      <c r="DI23" s="27">
        <f>DATE(Konfiguration!$B$2,11,$B23)</f>
        <v>43425</v>
      </c>
      <c r="DJ23" s="28">
        <f t="shared" si="67"/>
        <v>0</v>
      </c>
      <c r="DK23" s="28">
        <f>IF(ISNA(VLOOKUP(DI23,Ferien!$A:$A,1,FALSE))=TRUE,0,1)</f>
        <v>0</v>
      </c>
      <c r="DL23" s="28">
        <f>IF(ISNA(VLOOKUP(DI23,Feiertage!$A:$A,1,FALSE))=TRUE,0,1)</f>
        <v>0</v>
      </c>
      <c r="DM23" s="28">
        <f>IF(ISNA(VLOOKUP(DI23,Termine!$A:$A,1,FALSE))=TRUE,0,1)</f>
        <v>0</v>
      </c>
      <c r="DN23" s="28" t="str">
        <f>IF(ISNA(VLOOKUP(DI23,Aufenthalte!$A:$B,2,FALSE))=TRUE,"",VLOOKUP(DI23,Aufenthalte!$A:$B,2,FALSE))</f>
        <v>Mama</v>
      </c>
      <c r="DO23" s="25">
        <f t="shared" si="33"/>
        <v>21</v>
      </c>
      <c r="DP23" s="26">
        <f t="shared" si="34"/>
        <v>43425</v>
      </c>
      <c r="DQ23" s="24" t="str">
        <f t="shared" si="35"/>
        <v/>
      </c>
      <c r="DR23" s="54" t="str">
        <f>IF(ISNA(VLOOKUP(DI23,Aufenthalte!$A:$G,7,FALSE))=TRUE,"",VLOOKUP(DI23,Aufenthalte!$A:$G,7,FALSE))</f>
        <v xml:space="preserve">
</v>
      </c>
      <c r="DS23" s="7" t="str">
        <f t="shared" si="68"/>
        <v/>
      </c>
      <c r="DT23" s="27">
        <f>DATE(Konfiguration!$B$2,12,$B23)</f>
        <v>43455</v>
      </c>
      <c r="DU23" s="28">
        <f t="shared" si="69"/>
        <v>0</v>
      </c>
      <c r="DV23" s="28">
        <f>IF(ISNA(VLOOKUP(DT23,Ferien!$A:$A,1,FALSE))=TRUE,0,1)</f>
        <v>1</v>
      </c>
      <c r="DW23" s="28">
        <f>IF(ISNA(VLOOKUP(DT23,Feiertage!$A:$A,1,FALSE))=TRUE,0,1)</f>
        <v>0</v>
      </c>
      <c r="DX23" s="28">
        <f>IF(ISNA(VLOOKUP(DT23,Termine!$A:$A,1,FALSE))=TRUE,0,1)</f>
        <v>0</v>
      </c>
      <c r="DY23" s="28" t="str">
        <f>IF(ISNA(VLOOKUP(DT23,Aufenthalte!$A:$B,2,FALSE))=TRUE,"",VLOOKUP(DT23,Aufenthalte!$A:$B,2,FALSE))</f>
        <v>Mama</v>
      </c>
      <c r="DZ23" s="25">
        <f t="shared" si="37"/>
        <v>21</v>
      </c>
      <c r="EA23" s="26">
        <f t="shared" si="38"/>
        <v>43455</v>
      </c>
      <c r="EB23" s="24" t="str">
        <f t="shared" si="39"/>
        <v/>
      </c>
      <c r="EC23" s="54" t="str">
        <f>IF(ISNA(VLOOKUP(DT23,Aufenthalte!$A:$G,7,FALSE))=TRUE,"",VLOOKUP(DT23,Aufenthalte!$A:$G,7,FALSE))</f>
        <v xml:space="preserve">
</v>
      </c>
      <c r="ED23" s="7" t="str">
        <f t="shared" si="70"/>
        <v/>
      </c>
      <c r="EE23" s="10"/>
      <c r="EF23" s="48"/>
      <c r="EG23" s="48"/>
      <c r="EH23" s="48"/>
      <c r="EI23" s="48"/>
      <c r="EJ23" s="48"/>
      <c r="EK23" s="48"/>
      <c r="EL23" s="48"/>
      <c r="EM23" s="9"/>
      <c r="EN23" s="22"/>
      <c r="EO23" s="7"/>
    </row>
    <row r="24" spans="2:145" s="1" customFormat="1" ht="21" customHeight="1">
      <c r="B24" s="8">
        <v>22</v>
      </c>
      <c r="C24" s="27">
        <f>DATE(Konfiguration!$B$2,1,$B24)</f>
        <v>43122</v>
      </c>
      <c r="D24" s="28">
        <f t="shared" si="45"/>
        <v>0</v>
      </c>
      <c r="E24" s="28">
        <f>IF(ISNA(VLOOKUP(C24,Ferien!$A:$A,1,FALSE))=TRUE,0,1)</f>
        <v>0</v>
      </c>
      <c r="F24" s="28">
        <f>IF(ISNA(VLOOKUP(C24,Feiertage!$A:$A,1,FALSE))=TRUE,0,1)</f>
        <v>0</v>
      </c>
      <c r="G24" s="28">
        <f>IF(ISNA(VLOOKUP(C24,Termine!$A:$A,1,FALSE))=TRUE,0,1)</f>
        <v>0</v>
      </c>
      <c r="H24" s="28" t="str">
        <f>IF(ISNA(VLOOKUP(C24,Aufenthalte!$A:$B,2,FALSE))=TRUE,"",VLOOKUP(C24,Aufenthalte!$A:$B,2,FALSE))</f>
        <v>Mama</v>
      </c>
      <c r="I24" s="25">
        <f t="shared" si="46"/>
        <v>22</v>
      </c>
      <c r="J24" s="26">
        <f t="shared" si="0"/>
        <v>43122</v>
      </c>
      <c r="K24" s="24" t="str">
        <f t="shared" si="47"/>
        <v/>
      </c>
      <c r="L24" s="54" t="str">
        <f>IF(ISNA(VLOOKUP(C24,Aufenthalte!$A:$G,7,FALSE))=TRUE,"",VLOOKUP(C24,Aufenthalte!$A:$G,7,FALSE))</f>
        <v xml:space="preserve">
</v>
      </c>
      <c r="M24" s="7">
        <f t="shared" si="77"/>
        <v>4</v>
      </c>
      <c r="N24" s="27">
        <f>DATE(Konfiguration!$B$2,2,$B24)</f>
        <v>43153</v>
      </c>
      <c r="O24" s="28">
        <f t="shared" si="48"/>
        <v>0</v>
      </c>
      <c r="P24" s="28">
        <f>IF(ISNA(VLOOKUP(N24,Ferien!$A:$A,1,FALSE))=TRUE,0,1)</f>
        <v>0</v>
      </c>
      <c r="Q24" s="28">
        <f>IF(ISNA(VLOOKUP(N24,Feiertage!$A:$A,1,FALSE))=TRUE,0,1)</f>
        <v>0</v>
      </c>
      <c r="R24" s="28">
        <f>IF(ISNA(VLOOKUP(N24,Termine!$A:$A,1,FALSE))=TRUE,0,1)</f>
        <v>0</v>
      </c>
      <c r="S24" s="28" t="str">
        <f>IF(ISNA(VLOOKUP(N24,Aufenthalte!$A:$B,2,FALSE))=TRUE,"",VLOOKUP(N24,Aufenthalte!$A:$B,2,FALSE))</f>
        <v>Mama</v>
      </c>
      <c r="T24" s="25">
        <f t="shared" si="49"/>
        <v>22</v>
      </c>
      <c r="U24" s="26">
        <f t="shared" si="50"/>
        <v>43153</v>
      </c>
      <c r="V24" s="24" t="str">
        <f t="shared" si="2"/>
        <v/>
      </c>
      <c r="W24" s="54" t="str">
        <f>IF(ISNA(VLOOKUP(N24,Aufenthalte!$A:$G,7,FALSE))=TRUE,"",VLOOKUP(N24,Aufenthalte!$A:$G,7,FALSE))</f>
        <v xml:space="preserve">
</v>
      </c>
      <c r="X24" s="7" t="str">
        <f t="shared" si="51"/>
        <v/>
      </c>
      <c r="Y24" s="27">
        <f>DATE(Konfiguration!$B$2,3,$B24)</f>
        <v>43181</v>
      </c>
      <c r="Z24" s="28">
        <f t="shared" si="73"/>
        <v>0</v>
      </c>
      <c r="AA24" s="28">
        <f>IF(ISNA(VLOOKUP(Y24,Ferien!$A:$A,1,FALSE))=TRUE,0,1)</f>
        <v>0</v>
      </c>
      <c r="AB24" s="28">
        <f>IF(ISNA(VLOOKUP(Y24,Feiertage!$A:$A,1,FALSE))=TRUE,0,1)</f>
        <v>0</v>
      </c>
      <c r="AC24" s="28">
        <f>IF(ISNA(VLOOKUP(Y24,Termine!$A:$A,1,FALSE))=TRUE,0,1)</f>
        <v>0</v>
      </c>
      <c r="AD24" s="28" t="str">
        <f>IF(ISNA(VLOOKUP(Y24,Aufenthalte!$A:$B,2,FALSE))=TRUE,"",VLOOKUP(Y24,Aufenthalte!$A:$B,2,FALSE))</f>
        <v>Mama</v>
      </c>
      <c r="AE24" s="25">
        <f t="shared" si="74"/>
        <v>22</v>
      </c>
      <c r="AF24" s="26">
        <f t="shared" si="75"/>
        <v>43181</v>
      </c>
      <c r="AG24" s="24" t="str">
        <f t="shared" si="76"/>
        <v/>
      </c>
      <c r="AH24" s="54" t="str">
        <f>IF(ISNA(VLOOKUP(Y24,Aufenthalte!$A:$G,7,FALSE))=TRUE,"",VLOOKUP(Y24,Aufenthalte!$A:$G,7,FALSE))</f>
        <v xml:space="preserve">
</v>
      </c>
      <c r="AI24" s="7" t="str">
        <f t="shared" si="52"/>
        <v/>
      </c>
      <c r="AJ24" s="27">
        <f>DATE(Konfiguration!$B$2,4,$B24)</f>
        <v>43212</v>
      </c>
      <c r="AK24" s="28">
        <f t="shared" si="53"/>
        <v>1</v>
      </c>
      <c r="AL24" s="28">
        <f>IF(ISNA(VLOOKUP(AJ24,Ferien!$A:$A,1,FALSE))=TRUE,0,1)</f>
        <v>0</v>
      </c>
      <c r="AM24" s="28">
        <f>IF(ISNA(VLOOKUP(AJ24,Feiertage!$A:$A,1,FALSE))=TRUE,0,1)</f>
        <v>0</v>
      </c>
      <c r="AN24" s="28">
        <f>IF(ISNA(VLOOKUP(AJ24,Termine!$A:$A,1,FALSE))=TRUE,0,1)</f>
        <v>0</v>
      </c>
      <c r="AO24" s="28" t="str">
        <f>IF(ISNA(VLOOKUP(AJ24,Aufenthalte!$A:$B,2,FALSE))=TRUE,"",VLOOKUP(AJ24,Aufenthalte!$A:$B,2,FALSE))</f>
        <v>Mama</v>
      </c>
      <c r="AP24" s="25">
        <f t="shared" si="5"/>
        <v>22</v>
      </c>
      <c r="AQ24" s="26">
        <f t="shared" si="6"/>
        <v>43212</v>
      </c>
      <c r="AR24" s="24" t="str">
        <f t="shared" si="7"/>
        <v/>
      </c>
      <c r="AS24" s="54" t="str">
        <f>IF(ISNA(VLOOKUP(AJ24,Aufenthalte!$A:$G,7,FALSE))=TRUE,"",VLOOKUP(AJ24,Aufenthalte!$A:$G,7,FALSE))</f>
        <v xml:space="preserve">
</v>
      </c>
      <c r="AT24" s="7" t="str">
        <f t="shared" si="54"/>
        <v/>
      </c>
      <c r="AU24" s="27">
        <f>DATE(Konfiguration!$B$2,5,$B24)</f>
        <v>43242</v>
      </c>
      <c r="AV24" s="28">
        <f t="shared" si="55"/>
        <v>0</v>
      </c>
      <c r="AW24" s="28">
        <f>IF(ISNA(VLOOKUP(AU24,Ferien!$A:$A,1,FALSE))=TRUE,0,1)</f>
        <v>0</v>
      </c>
      <c r="AX24" s="28">
        <f>IF(ISNA(VLOOKUP(AU24,Feiertage!$A:$A,1,FALSE))=TRUE,0,1)</f>
        <v>0</v>
      </c>
      <c r="AY24" s="28">
        <f>IF(ISNA(VLOOKUP(AU24,Termine!$A:$A,1,FALSE))=TRUE,0,1)</f>
        <v>0</v>
      </c>
      <c r="AZ24" s="28" t="str">
        <f>IF(ISNA(VLOOKUP(AU24,Aufenthalte!$A:$B,2,FALSE))=TRUE,"",VLOOKUP(AU24,Aufenthalte!$A:$B,2,FALSE))</f>
        <v>Mama</v>
      </c>
      <c r="BA24" s="25">
        <f t="shared" si="9"/>
        <v>22</v>
      </c>
      <c r="BB24" s="26">
        <f t="shared" si="10"/>
        <v>43242</v>
      </c>
      <c r="BC24" s="24" t="str">
        <f t="shared" si="11"/>
        <v/>
      </c>
      <c r="BD24" s="54" t="str">
        <f>IF(ISNA(VLOOKUP(AU24,Aufenthalte!$A:$G,7,FALSE))=TRUE,"",VLOOKUP(AU24,Aufenthalte!$A:$G,7,FALSE))</f>
        <v xml:space="preserve">
</v>
      </c>
      <c r="BE24" s="7" t="str">
        <f t="shared" si="56"/>
        <v/>
      </c>
      <c r="BF24" s="27">
        <f>DATE(Konfiguration!$B$2,6,$B24)</f>
        <v>43273</v>
      </c>
      <c r="BG24" s="28">
        <f t="shared" si="57"/>
        <v>0</v>
      </c>
      <c r="BH24" s="28">
        <f>IF(ISNA(VLOOKUP(BF24,Ferien!$A:$A,1,FALSE))=TRUE,0,1)</f>
        <v>0</v>
      </c>
      <c r="BI24" s="28">
        <f>IF(ISNA(VLOOKUP(BF24,Feiertage!$A:$A,1,FALSE))=TRUE,0,1)</f>
        <v>0</v>
      </c>
      <c r="BJ24" s="28">
        <f>IF(ISNA(VLOOKUP(BF24,Termine!$A:$A,1,FALSE))=TRUE,0,1)</f>
        <v>0</v>
      </c>
      <c r="BK24" s="28" t="str">
        <f>IF(ISNA(VLOOKUP(BF24,Aufenthalte!$A:$B,2,FALSE))=TRUE,"",VLOOKUP(BF24,Aufenthalte!$A:$B,2,FALSE))</f>
        <v>Mama</v>
      </c>
      <c r="BL24" s="25">
        <f t="shared" si="13"/>
        <v>22</v>
      </c>
      <c r="BM24" s="26">
        <f t="shared" si="14"/>
        <v>43273</v>
      </c>
      <c r="BN24" s="24" t="str">
        <f t="shared" si="15"/>
        <v/>
      </c>
      <c r="BO24" s="54" t="str">
        <f>IF(ISNA(VLOOKUP(BF24,Aufenthalte!$A:$G,7,FALSE))=TRUE,"",VLOOKUP(BF24,Aufenthalte!$A:$G,7,FALSE))</f>
        <v xml:space="preserve">
</v>
      </c>
      <c r="BP24" s="7" t="str">
        <f t="shared" si="58"/>
        <v/>
      </c>
      <c r="BQ24" s="27">
        <f>DATE(Konfiguration!$B$2,7,$B24)</f>
        <v>43303</v>
      </c>
      <c r="BR24" s="28">
        <f t="shared" si="59"/>
        <v>1</v>
      </c>
      <c r="BS24" s="28">
        <f>IF(ISNA(VLOOKUP(BQ24,Ferien!$A:$A,1,FALSE))=TRUE,0,1)</f>
        <v>1</v>
      </c>
      <c r="BT24" s="28">
        <f>IF(ISNA(VLOOKUP(BQ24,Feiertage!$A:$A,1,FALSE))=TRUE,0,1)</f>
        <v>0</v>
      </c>
      <c r="BU24" s="28">
        <f>IF(ISNA(VLOOKUP(BQ24,Termine!$A:$A,1,FALSE))=TRUE,0,1)</f>
        <v>0</v>
      </c>
      <c r="BV24" s="28" t="str">
        <f>IF(ISNA(VLOOKUP(BQ24,Aufenthalte!$A:$B,2,FALSE))=TRUE,"",VLOOKUP(BQ24,Aufenthalte!$A:$B,2,FALSE))</f>
        <v>Mama</v>
      </c>
      <c r="BW24" s="25">
        <f t="shared" si="17"/>
        <v>22</v>
      </c>
      <c r="BX24" s="26">
        <f t="shared" si="18"/>
        <v>43303</v>
      </c>
      <c r="BY24" s="24" t="str">
        <f t="shared" si="19"/>
        <v/>
      </c>
      <c r="BZ24" s="54" t="str">
        <f>IF(ISNA(VLOOKUP(BQ24,Aufenthalte!$A:$G,7,FALSE))=TRUE,"",VLOOKUP(BQ24,Aufenthalte!$A:$G,7,FALSE))</f>
        <v xml:space="preserve">
</v>
      </c>
      <c r="CA24" s="7" t="str">
        <f t="shared" si="60"/>
        <v/>
      </c>
      <c r="CB24" s="27">
        <f>DATE(Konfiguration!$B$2,8,$B24)</f>
        <v>43334</v>
      </c>
      <c r="CC24" s="28">
        <f t="shared" si="61"/>
        <v>0</v>
      </c>
      <c r="CD24" s="28">
        <f>IF(ISNA(VLOOKUP(CB24,Ferien!$A:$A,1,FALSE))=TRUE,0,1)</f>
        <v>0</v>
      </c>
      <c r="CE24" s="28">
        <f>IF(ISNA(VLOOKUP(CB24,Feiertage!$A:$A,1,FALSE))=TRUE,0,1)</f>
        <v>0</v>
      </c>
      <c r="CF24" s="28">
        <f>IF(ISNA(VLOOKUP(CB24,Termine!$A:$A,1,FALSE))=TRUE,0,1)</f>
        <v>0</v>
      </c>
      <c r="CG24" s="28" t="str">
        <f>IF(ISNA(VLOOKUP(CB24,Aufenthalte!$A:$B,2,FALSE))=TRUE,"",VLOOKUP(CB24,Aufenthalte!$A:$B,2,FALSE))</f>
        <v>Mama</v>
      </c>
      <c r="CH24" s="25">
        <f t="shared" si="21"/>
        <v>22</v>
      </c>
      <c r="CI24" s="26">
        <f t="shared" si="22"/>
        <v>43334</v>
      </c>
      <c r="CJ24" s="24" t="str">
        <f t="shared" si="23"/>
        <v/>
      </c>
      <c r="CK24" s="54" t="str">
        <f>IF(ISNA(VLOOKUP(CB24,Aufenthalte!$A:$G,7,FALSE))=TRUE,"",VLOOKUP(CB24,Aufenthalte!$A:$G,7,FALSE))</f>
        <v xml:space="preserve">
</v>
      </c>
      <c r="CL24" s="7" t="str">
        <f t="shared" si="62"/>
        <v/>
      </c>
      <c r="CM24" s="27">
        <f>DATE(Konfiguration!$B$2,9,$B24)</f>
        <v>43365</v>
      </c>
      <c r="CN24" s="28">
        <f t="shared" si="63"/>
        <v>1</v>
      </c>
      <c r="CO24" s="28">
        <f>IF(ISNA(VLOOKUP(CM24,Ferien!$A:$A,1,FALSE))=TRUE,0,1)</f>
        <v>0</v>
      </c>
      <c r="CP24" s="28">
        <f>IF(ISNA(VLOOKUP(CM24,Feiertage!$A:$A,1,FALSE))=TRUE,0,1)</f>
        <v>0</v>
      </c>
      <c r="CQ24" s="28">
        <f>IF(ISNA(VLOOKUP(CM24,Termine!$A:$A,1,FALSE))=TRUE,0,1)</f>
        <v>0</v>
      </c>
      <c r="CR24" s="28" t="str">
        <f>IF(ISNA(VLOOKUP(CM24,Aufenthalte!$A:$B,2,FALSE))=TRUE,"",VLOOKUP(CM24,Aufenthalte!$A:$B,2,FALSE))</f>
        <v>Mama</v>
      </c>
      <c r="CS24" s="25">
        <f t="shared" si="25"/>
        <v>22</v>
      </c>
      <c r="CT24" s="26">
        <f t="shared" si="26"/>
        <v>43365</v>
      </c>
      <c r="CU24" s="24" t="str">
        <f t="shared" si="27"/>
        <v/>
      </c>
      <c r="CV24" s="54" t="str">
        <f>IF(ISNA(VLOOKUP(CM24,Aufenthalte!$A:$G,7,FALSE))=TRUE,"",VLOOKUP(CM24,Aufenthalte!$A:$G,7,FALSE))</f>
        <v xml:space="preserve">
</v>
      </c>
      <c r="CW24" s="7" t="str">
        <f t="shared" si="64"/>
        <v/>
      </c>
      <c r="CX24" s="27">
        <f>DATE(Konfiguration!$B$2,10,$B24)</f>
        <v>43395</v>
      </c>
      <c r="CY24" s="28">
        <f t="shared" si="65"/>
        <v>0</v>
      </c>
      <c r="CZ24" s="28">
        <f>IF(ISNA(VLOOKUP(CX24,Ferien!$A:$A,1,FALSE))=TRUE,0,1)</f>
        <v>0</v>
      </c>
      <c r="DA24" s="28">
        <f>IF(ISNA(VLOOKUP(CX24,Feiertage!$A:$A,1,FALSE))=TRUE,0,1)</f>
        <v>0</v>
      </c>
      <c r="DB24" s="28">
        <f>IF(ISNA(VLOOKUP(CX24,Termine!$A:$A,1,FALSE))=TRUE,0,1)</f>
        <v>0</v>
      </c>
      <c r="DC24" s="28" t="str">
        <f>IF(ISNA(VLOOKUP(CX24,Aufenthalte!$A:$B,2,FALSE))=TRUE,"",VLOOKUP(CX24,Aufenthalte!$A:$B,2,FALSE))</f>
        <v>Mama</v>
      </c>
      <c r="DD24" s="25">
        <f t="shared" si="29"/>
        <v>22</v>
      </c>
      <c r="DE24" s="26">
        <f t="shared" si="30"/>
        <v>43395</v>
      </c>
      <c r="DF24" s="24" t="str">
        <f t="shared" si="31"/>
        <v/>
      </c>
      <c r="DG24" s="54" t="str">
        <f>IF(ISNA(VLOOKUP(CX24,Aufenthalte!$A:$G,7,FALSE))=TRUE,"",VLOOKUP(CX24,Aufenthalte!$A:$G,7,FALSE))</f>
        <v xml:space="preserve">
</v>
      </c>
      <c r="DH24" s="7">
        <f t="shared" si="66"/>
        <v>43</v>
      </c>
      <c r="DI24" s="27">
        <f>DATE(Konfiguration!$B$2,11,$B24)</f>
        <v>43426</v>
      </c>
      <c r="DJ24" s="28">
        <f t="shared" si="67"/>
        <v>0</v>
      </c>
      <c r="DK24" s="28">
        <f>IF(ISNA(VLOOKUP(DI24,Ferien!$A:$A,1,FALSE))=TRUE,0,1)</f>
        <v>0</v>
      </c>
      <c r="DL24" s="28">
        <f>IF(ISNA(VLOOKUP(DI24,Feiertage!$A:$A,1,FALSE))=TRUE,0,1)</f>
        <v>0</v>
      </c>
      <c r="DM24" s="28">
        <f>IF(ISNA(VLOOKUP(DI24,Termine!$A:$A,1,FALSE))=TRUE,0,1)</f>
        <v>0</v>
      </c>
      <c r="DN24" s="28" t="str">
        <f>IF(ISNA(VLOOKUP(DI24,Aufenthalte!$A:$B,2,FALSE))=TRUE,"",VLOOKUP(DI24,Aufenthalte!$A:$B,2,FALSE))</f>
        <v>Mama</v>
      </c>
      <c r="DO24" s="25">
        <f t="shared" si="33"/>
        <v>22</v>
      </c>
      <c r="DP24" s="26">
        <f t="shared" si="34"/>
        <v>43426</v>
      </c>
      <c r="DQ24" s="24" t="str">
        <f t="shared" si="35"/>
        <v/>
      </c>
      <c r="DR24" s="54" t="str">
        <f>IF(ISNA(VLOOKUP(DI24,Aufenthalte!$A:$G,7,FALSE))=TRUE,"",VLOOKUP(DI24,Aufenthalte!$A:$G,7,FALSE))</f>
        <v xml:space="preserve">
</v>
      </c>
      <c r="DS24" s="7" t="str">
        <f t="shared" si="68"/>
        <v/>
      </c>
      <c r="DT24" s="27">
        <f>DATE(Konfiguration!$B$2,12,$B24)</f>
        <v>43456</v>
      </c>
      <c r="DU24" s="28">
        <f t="shared" si="69"/>
        <v>1</v>
      </c>
      <c r="DV24" s="28">
        <f>IF(ISNA(VLOOKUP(DT24,Ferien!$A:$A,1,FALSE))=TRUE,0,1)</f>
        <v>1</v>
      </c>
      <c r="DW24" s="28">
        <f>IF(ISNA(VLOOKUP(DT24,Feiertage!$A:$A,1,FALSE))=TRUE,0,1)</f>
        <v>0</v>
      </c>
      <c r="DX24" s="28">
        <f>IF(ISNA(VLOOKUP(DT24,Termine!$A:$A,1,FALSE))=TRUE,0,1)</f>
        <v>0</v>
      </c>
      <c r="DY24" s="28" t="str">
        <f>IF(ISNA(VLOOKUP(DT24,Aufenthalte!$A:$B,2,FALSE))=TRUE,"",VLOOKUP(DT24,Aufenthalte!$A:$B,2,FALSE))</f>
        <v>Mama</v>
      </c>
      <c r="DZ24" s="25">
        <f t="shared" si="37"/>
        <v>22</v>
      </c>
      <c r="EA24" s="26">
        <f t="shared" si="38"/>
        <v>43456</v>
      </c>
      <c r="EB24" s="24" t="str">
        <f t="shared" si="39"/>
        <v/>
      </c>
      <c r="EC24" s="54" t="str">
        <f>IF(ISNA(VLOOKUP(DT24,Aufenthalte!$A:$G,7,FALSE))=TRUE,"",VLOOKUP(DT24,Aufenthalte!$A:$G,7,FALSE))</f>
        <v xml:space="preserve">
</v>
      </c>
      <c r="ED24" s="7" t="str">
        <f t="shared" si="70"/>
        <v/>
      </c>
      <c r="EE24" s="10"/>
      <c r="EF24" s="48"/>
      <c r="EG24" s="48"/>
      <c r="EH24" s="48"/>
      <c r="EI24" s="48"/>
      <c r="EJ24" s="48"/>
      <c r="EK24" s="48"/>
      <c r="EL24" s="48"/>
      <c r="EM24" s="9"/>
      <c r="EN24" s="122"/>
      <c r="EO24" s="123"/>
    </row>
    <row r="25" spans="2:145" s="1" customFormat="1" ht="21" customHeight="1">
      <c r="B25" s="8">
        <v>23</v>
      </c>
      <c r="C25" s="27">
        <f>DATE(Konfiguration!$B$2,1,$B25)</f>
        <v>43123</v>
      </c>
      <c r="D25" s="28">
        <f t="shared" si="45"/>
        <v>0</v>
      </c>
      <c r="E25" s="28">
        <f>IF(ISNA(VLOOKUP(C25,Ferien!$A:$A,1,FALSE))=TRUE,0,1)</f>
        <v>0</v>
      </c>
      <c r="F25" s="28">
        <f>IF(ISNA(VLOOKUP(C25,Feiertage!$A:$A,1,FALSE))=TRUE,0,1)</f>
        <v>0</v>
      </c>
      <c r="G25" s="28">
        <f>IF(ISNA(VLOOKUP(C25,Termine!$A:$A,1,FALSE))=TRUE,0,1)</f>
        <v>0</v>
      </c>
      <c r="H25" s="28" t="str">
        <f>IF(ISNA(VLOOKUP(C25,Aufenthalte!$A:$B,2,FALSE))=TRUE,"",VLOOKUP(C25,Aufenthalte!$A:$B,2,FALSE))</f>
        <v>Mama</v>
      </c>
      <c r="I25" s="25">
        <f t="shared" si="46"/>
        <v>23</v>
      </c>
      <c r="J25" s="26">
        <f t="shared" si="0"/>
        <v>43123</v>
      </c>
      <c r="K25" s="24" t="str">
        <f t="shared" si="47"/>
        <v/>
      </c>
      <c r="L25" s="54" t="str">
        <f>IF(ISNA(VLOOKUP(C25,Aufenthalte!$A:$G,7,FALSE))=TRUE,"",VLOOKUP(C25,Aufenthalte!$A:$G,7,FALSE))</f>
        <v xml:space="preserve">
</v>
      </c>
      <c r="M25" s="7" t="str">
        <f t="shared" si="77"/>
        <v/>
      </c>
      <c r="N25" s="27">
        <f>DATE(Konfiguration!$B$2,2,$B25)</f>
        <v>43154</v>
      </c>
      <c r="O25" s="28">
        <f t="shared" si="48"/>
        <v>0</v>
      </c>
      <c r="P25" s="28">
        <f>IF(ISNA(VLOOKUP(N25,Ferien!$A:$A,1,FALSE))=TRUE,0,1)</f>
        <v>0</v>
      </c>
      <c r="Q25" s="28">
        <f>IF(ISNA(VLOOKUP(N25,Feiertage!$A:$A,1,FALSE))=TRUE,0,1)</f>
        <v>0</v>
      </c>
      <c r="R25" s="28">
        <f>IF(ISNA(VLOOKUP(N25,Termine!$A:$A,1,FALSE))=TRUE,0,1)</f>
        <v>0</v>
      </c>
      <c r="S25" s="28" t="str">
        <f>IF(ISNA(VLOOKUP(N25,Aufenthalte!$A:$B,2,FALSE))=TRUE,"",VLOOKUP(N25,Aufenthalte!$A:$B,2,FALSE))</f>
        <v>Mama</v>
      </c>
      <c r="T25" s="25">
        <f t="shared" si="49"/>
        <v>23</v>
      </c>
      <c r="U25" s="26">
        <f t="shared" si="50"/>
        <v>43154</v>
      </c>
      <c r="V25" s="24" t="str">
        <f t="shared" si="2"/>
        <v/>
      </c>
      <c r="W25" s="54" t="str">
        <f>IF(ISNA(VLOOKUP(N25,Aufenthalte!$A:$G,7,FALSE))=TRUE,"",VLOOKUP(N25,Aufenthalte!$A:$G,7,FALSE))</f>
        <v xml:space="preserve">
</v>
      </c>
      <c r="X25" s="7" t="str">
        <f t="shared" si="51"/>
        <v/>
      </c>
      <c r="Y25" s="27">
        <f>DATE(Konfiguration!$B$2,3,$B25)</f>
        <v>43182</v>
      </c>
      <c r="Z25" s="28">
        <f t="shared" si="73"/>
        <v>0</v>
      </c>
      <c r="AA25" s="28">
        <f>IF(ISNA(VLOOKUP(Y25,Ferien!$A:$A,1,FALSE))=TRUE,0,1)</f>
        <v>0</v>
      </c>
      <c r="AB25" s="28">
        <f>IF(ISNA(VLOOKUP(Y25,Feiertage!$A:$A,1,FALSE))=TRUE,0,1)</f>
        <v>0</v>
      </c>
      <c r="AC25" s="28">
        <f>IF(ISNA(VLOOKUP(Y25,Termine!$A:$A,1,FALSE))=TRUE,0,1)</f>
        <v>0</v>
      </c>
      <c r="AD25" s="28" t="str">
        <f>IF(ISNA(VLOOKUP(Y25,Aufenthalte!$A:$B,2,FALSE))=TRUE,"",VLOOKUP(Y25,Aufenthalte!$A:$B,2,FALSE))</f>
        <v>Mama</v>
      </c>
      <c r="AE25" s="25">
        <f t="shared" si="74"/>
        <v>23</v>
      </c>
      <c r="AF25" s="26">
        <f t="shared" si="75"/>
        <v>43182</v>
      </c>
      <c r="AG25" s="24" t="str">
        <f t="shared" si="76"/>
        <v/>
      </c>
      <c r="AH25" s="54" t="str">
        <f>IF(ISNA(VLOOKUP(Y25,Aufenthalte!$A:$G,7,FALSE))=TRUE,"",VLOOKUP(Y25,Aufenthalte!$A:$G,7,FALSE))</f>
        <v xml:space="preserve">
</v>
      </c>
      <c r="AI25" s="7" t="str">
        <f t="shared" si="52"/>
        <v/>
      </c>
      <c r="AJ25" s="27">
        <f>DATE(Konfiguration!$B$2,4,$B25)</f>
        <v>43213</v>
      </c>
      <c r="AK25" s="28">
        <f t="shared" si="53"/>
        <v>0</v>
      </c>
      <c r="AL25" s="28">
        <f>IF(ISNA(VLOOKUP(AJ25,Ferien!$A:$A,1,FALSE))=TRUE,0,1)</f>
        <v>0</v>
      </c>
      <c r="AM25" s="28">
        <f>IF(ISNA(VLOOKUP(AJ25,Feiertage!$A:$A,1,FALSE))=TRUE,0,1)</f>
        <v>0</v>
      </c>
      <c r="AN25" s="28">
        <f>IF(ISNA(VLOOKUP(AJ25,Termine!$A:$A,1,FALSE))=TRUE,0,1)</f>
        <v>0</v>
      </c>
      <c r="AO25" s="28" t="str">
        <f>IF(ISNA(VLOOKUP(AJ25,Aufenthalte!$A:$B,2,FALSE))=TRUE,"",VLOOKUP(AJ25,Aufenthalte!$A:$B,2,FALSE))</f>
        <v>Mama</v>
      </c>
      <c r="AP25" s="25">
        <f t="shared" si="5"/>
        <v>23</v>
      </c>
      <c r="AQ25" s="26">
        <f t="shared" si="6"/>
        <v>43213</v>
      </c>
      <c r="AR25" s="24" t="str">
        <f t="shared" si="7"/>
        <v/>
      </c>
      <c r="AS25" s="54" t="str">
        <f>IF(ISNA(VLOOKUP(AJ25,Aufenthalte!$A:$G,7,FALSE))=TRUE,"",VLOOKUP(AJ25,Aufenthalte!$A:$G,7,FALSE))</f>
        <v xml:space="preserve">
</v>
      </c>
      <c r="AT25" s="7">
        <f t="shared" si="54"/>
        <v>17</v>
      </c>
      <c r="AU25" s="27">
        <f>DATE(Konfiguration!$B$2,5,$B25)</f>
        <v>43243</v>
      </c>
      <c r="AV25" s="28">
        <f t="shared" si="55"/>
        <v>0</v>
      </c>
      <c r="AW25" s="28">
        <f>IF(ISNA(VLOOKUP(AU25,Ferien!$A:$A,1,FALSE))=TRUE,0,1)</f>
        <v>0</v>
      </c>
      <c r="AX25" s="28">
        <f>IF(ISNA(VLOOKUP(AU25,Feiertage!$A:$A,1,FALSE))=TRUE,0,1)</f>
        <v>0</v>
      </c>
      <c r="AY25" s="28">
        <f>IF(ISNA(VLOOKUP(AU25,Termine!$A:$A,1,FALSE))=TRUE,0,1)</f>
        <v>0</v>
      </c>
      <c r="AZ25" s="28" t="str">
        <f>IF(ISNA(VLOOKUP(AU25,Aufenthalte!$A:$B,2,FALSE))=TRUE,"",VLOOKUP(AU25,Aufenthalte!$A:$B,2,FALSE))</f>
        <v>Mama</v>
      </c>
      <c r="BA25" s="25">
        <f t="shared" si="9"/>
        <v>23</v>
      </c>
      <c r="BB25" s="26">
        <f t="shared" si="10"/>
        <v>43243</v>
      </c>
      <c r="BC25" s="24" t="str">
        <f t="shared" si="11"/>
        <v/>
      </c>
      <c r="BD25" s="54" t="str">
        <f>IF(ISNA(VLOOKUP(AU25,Aufenthalte!$A:$G,7,FALSE))=TRUE,"",VLOOKUP(AU25,Aufenthalte!$A:$G,7,FALSE))</f>
        <v xml:space="preserve">
</v>
      </c>
      <c r="BE25" s="7" t="str">
        <f t="shared" si="56"/>
        <v/>
      </c>
      <c r="BF25" s="27">
        <f>DATE(Konfiguration!$B$2,6,$B25)</f>
        <v>43274</v>
      </c>
      <c r="BG25" s="28">
        <f t="shared" si="57"/>
        <v>1</v>
      </c>
      <c r="BH25" s="28">
        <f>IF(ISNA(VLOOKUP(BF25,Ferien!$A:$A,1,FALSE))=TRUE,0,1)</f>
        <v>0</v>
      </c>
      <c r="BI25" s="28">
        <f>IF(ISNA(VLOOKUP(BF25,Feiertage!$A:$A,1,FALSE))=TRUE,0,1)</f>
        <v>0</v>
      </c>
      <c r="BJ25" s="28">
        <f>IF(ISNA(VLOOKUP(BF25,Termine!$A:$A,1,FALSE))=TRUE,0,1)</f>
        <v>0</v>
      </c>
      <c r="BK25" s="28" t="str">
        <f>IF(ISNA(VLOOKUP(BF25,Aufenthalte!$A:$B,2,FALSE))=TRUE,"",VLOOKUP(BF25,Aufenthalte!$A:$B,2,FALSE))</f>
        <v>Mama</v>
      </c>
      <c r="BL25" s="25">
        <f t="shared" si="13"/>
        <v>23</v>
      </c>
      <c r="BM25" s="26">
        <f t="shared" si="14"/>
        <v>43274</v>
      </c>
      <c r="BN25" s="24" t="str">
        <f t="shared" si="15"/>
        <v/>
      </c>
      <c r="BO25" s="54" t="str">
        <f>IF(ISNA(VLOOKUP(BF25,Aufenthalte!$A:$G,7,FALSE))=TRUE,"",VLOOKUP(BF25,Aufenthalte!$A:$G,7,FALSE))</f>
        <v xml:space="preserve">
</v>
      </c>
      <c r="BP25" s="7" t="str">
        <f t="shared" si="58"/>
        <v/>
      </c>
      <c r="BQ25" s="27">
        <f>DATE(Konfiguration!$B$2,7,$B25)</f>
        <v>43304</v>
      </c>
      <c r="BR25" s="28">
        <f t="shared" si="59"/>
        <v>0</v>
      </c>
      <c r="BS25" s="28">
        <f>IF(ISNA(VLOOKUP(BQ25,Ferien!$A:$A,1,FALSE))=TRUE,0,1)</f>
        <v>1</v>
      </c>
      <c r="BT25" s="28">
        <f>IF(ISNA(VLOOKUP(BQ25,Feiertage!$A:$A,1,FALSE))=TRUE,0,1)</f>
        <v>0</v>
      </c>
      <c r="BU25" s="28">
        <f>IF(ISNA(VLOOKUP(BQ25,Termine!$A:$A,1,FALSE))=TRUE,0,1)</f>
        <v>0</v>
      </c>
      <c r="BV25" s="28" t="str">
        <f>IF(ISNA(VLOOKUP(BQ25,Aufenthalte!$A:$B,2,FALSE))=TRUE,"",VLOOKUP(BQ25,Aufenthalte!$A:$B,2,FALSE))</f>
        <v>Mama</v>
      </c>
      <c r="BW25" s="25">
        <f t="shared" si="17"/>
        <v>23</v>
      </c>
      <c r="BX25" s="26">
        <f t="shared" si="18"/>
        <v>43304</v>
      </c>
      <c r="BY25" s="24" t="str">
        <f t="shared" si="19"/>
        <v/>
      </c>
      <c r="BZ25" s="54" t="str">
        <f>IF(ISNA(VLOOKUP(BQ25,Aufenthalte!$A:$G,7,FALSE))=TRUE,"",VLOOKUP(BQ25,Aufenthalte!$A:$G,7,FALSE))</f>
        <v xml:space="preserve">
</v>
      </c>
      <c r="CA25" s="7">
        <f t="shared" si="60"/>
        <v>30</v>
      </c>
      <c r="CB25" s="27">
        <f>DATE(Konfiguration!$B$2,8,$B25)</f>
        <v>43335</v>
      </c>
      <c r="CC25" s="28">
        <f t="shared" si="61"/>
        <v>0</v>
      </c>
      <c r="CD25" s="28">
        <f>IF(ISNA(VLOOKUP(CB25,Ferien!$A:$A,1,FALSE))=TRUE,0,1)</f>
        <v>0</v>
      </c>
      <c r="CE25" s="28">
        <f>IF(ISNA(VLOOKUP(CB25,Feiertage!$A:$A,1,FALSE))=TRUE,0,1)</f>
        <v>0</v>
      </c>
      <c r="CF25" s="28">
        <f>IF(ISNA(VLOOKUP(CB25,Termine!$A:$A,1,FALSE))=TRUE,0,1)</f>
        <v>0</v>
      </c>
      <c r="CG25" s="28" t="str">
        <f>IF(ISNA(VLOOKUP(CB25,Aufenthalte!$A:$B,2,FALSE))=TRUE,"",VLOOKUP(CB25,Aufenthalte!$A:$B,2,FALSE))</f>
        <v>Mama</v>
      </c>
      <c r="CH25" s="25">
        <f t="shared" si="21"/>
        <v>23</v>
      </c>
      <c r="CI25" s="26">
        <f t="shared" si="22"/>
        <v>43335</v>
      </c>
      <c r="CJ25" s="24" t="str">
        <f t="shared" si="23"/>
        <v/>
      </c>
      <c r="CK25" s="54" t="str">
        <f>IF(ISNA(VLOOKUP(CB25,Aufenthalte!$A:$G,7,FALSE))=TRUE,"",VLOOKUP(CB25,Aufenthalte!$A:$G,7,FALSE))</f>
        <v xml:space="preserve">
</v>
      </c>
      <c r="CL25" s="7" t="str">
        <f t="shared" si="62"/>
        <v/>
      </c>
      <c r="CM25" s="27">
        <f>DATE(Konfiguration!$B$2,9,$B25)</f>
        <v>43366</v>
      </c>
      <c r="CN25" s="28">
        <f t="shared" si="63"/>
        <v>1</v>
      </c>
      <c r="CO25" s="28">
        <f>IF(ISNA(VLOOKUP(CM25,Ferien!$A:$A,1,FALSE))=TRUE,0,1)</f>
        <v>0</v>
      </c>
      <c r="CP25" s="28">
        <f>IF(ISNA(VLOOKUP(CM25,Feiertage!$A:$A,1,FALSE))=TRUE,0,1)</f>
        <v>0</v>
      </c>
      <c r="CQ25" s="28">
        <f>IF(ISNA(VLOOKUP(CM25,Termine!$A:$A,1,FALSE))=TRUE,0,1)</f>
        <v>0</v>
      </c>
      <c r="CR25" s="28" t="str">
        <f>IF(ISNA(VLOOKUP(CM25,Aufenthalte!$A:$B,2,FALSE))=TRUE,"",VLOOKUP(CM25,Aufenthalte!$A:$B,2,FALSE))</f>
        <v>Mama</v>
      </c>
      <c r="CS25" s="25">
        <f t="shared" si="25"/>
        <v>23</v>
      </c>
      <c r="CT25" s="26">
        <f t="shared" si="26"/>
        <v>43366</v>
      </c>
      <c r="CU25" s="24" t="str">
        <f t="shared" si="27"/>
        <v/>
      </c>
      <c r="CV25" s="54" t="str">
        <f>IF(ISNA(VLOOKUP(CM25,Aufenthalte!$A:$G,7,FALSE))=TRUE,"",VLOOKUP(CM25,Aufenthalte!$A:$G,7,FALSE))</f>
        <v xml:space="preserve">
</v>
      </c>
      <c r="CW25" s="7" t="str">
        <f t="shared" si="64"/>
        <v/>
      </c>
      <c r="CX25" s="27">
        <f>DATE(Konfiguration!$B$2,10,$B25)</f>
        <v>43396</v>
      </c>
      <c r="CY25" s="28">
        <f t="shared" si="65"/>
        <v>0</v>
      </c>
      <c r="CZ25" s="28">
        <f>IF(ISNA(VLOOKUP(CX25,Ferien!$A:$A,1,FALSE))=TRUE,0,1)</f>
        <v>0</v>
      </c>
      <c r="DA25" s="28">
        <f>IF(ISNA(VLOOKUP(CX25,Feiertage!$A:$A,1,FALSE))=TRUE,0,1)</f>
        <v>0</v>
      </c>
      <c r="DB25" s="28">
        <f>IF(ISNA(VLOOKUP(CX25,Termine!$A:$A,1,FALSE))=TRUE,0,1)</f>
        <v>0</v>
      </c>
      <c r="DC25" s="28" t="str">
        <f>IF(ISNA(VLOOKUP(CX25,Aufenthalte!$A:$B,2,FALSE))=TRUE,"",VLOOKUP(CX25,Aufenthalte!$A:$B,2,FALSE))</f>
        <v>Mama</v>
      </c>
      <c r="DD25" s="25">
        <f t="shared" si="29"/>
        <v>23</v>
      </c>
      <c r="DE25" s="26">
        <f t="shared" si="30"/>
        <v>43396</v>
      </c>
      <c r="DF25" s="24" t="str">
        <f t="shared" si="31"/>
        <v/>
      </c>
      <c r="DG25" s="54" t="str">
        <f>IF(ISNA(VLOOKUP(CX25,Aufenthalte!$A:$G,7,FALSE))=TRUE,"",VLOOKUP(CX25,Aufenthalte!$A:$G,7,FALSE))</f>
        <v xml:space="preserve">
</v>
      </c>
      <c r="DH25" s="7" t="str">
        <f t="shared" si="66"/>
        <v/>
      </c>
      <c r="DI25" s="27">
        <f>DATE(Konfiguration!$B$2,11,$B25)</f>
        <v>43427</v>
      </c>
      <c r="DJ25" s="28">
        <f t="shared" si="67"/>
        <v>0</v>
      </c>
      <c r="DK25" s="28">
        <f>IF(ISNA(VLOOKUP(DI25,Ferien!$A:$A,1,FALSE))=TRUE,0,1)</f>
        <v>0</v>
      </c>
      <c r="DL25" s="28">
        <f>IF(ISNA(VLOOKUP(DI25,Feiertage!$A:$A,1,FALSE))=TRUE,0,1)</f>
        <v>0</v>
      </c>
      <c r="DM25" s="28">
        <f>IF(ISNA(VLOOKUP(DI25,Termine!$A:$A,1,FALSE))=TRUE,0,1)</f>
        <v>0</v>
      </c>
      <c r="DN25" s="28" t="str">
        <f>IF(ISNA(VLOOKUP(DI25,Aufenthalte!$A:$B,2,FALSE))=TRUE,"",VLOOKUP(DI25,Aufenthalte!$A:$B,2,FALSE))</f>
        <v>Mama</v>
      </c>
      <c r="DO25" s="25">
        <f t="shared" si="33"/>
        <v>23</v>
      </c>
      <c r="DP25" s="26">
        <f t="shared" si="34"/>
        <v>43427</v>
      </c>
      <c r="DQ25" s="24" t="str">
        <f t="shared" si="35"/>
        <v/>
      </c>
      <c r="DR25" s="54" t="str">
        <f>IF(ISNA(VLOOKUP(DI25,Aufenthalte!$A:$G,7,FALSE))=TRUE,"",VLOOKUP(DI25,Aufenthalte!$A:$G,7,FALSE))</f>
        <v xml:space="preserve">
</v>
      </c>
      <c r="DS25" s="7" t="str">
        <f t="shared" si="68"/>
        <v/>
      </c>
      <c r="DT25" s="27">
        <f>DATE(Konfiguration!$B$2,12,$B25)</f>
        <v>43457</v>
      </c>
      <c r="DU25" s="28">
        <f t="shared" si="69"/>
        <v>1</v>
      </c>
      <c r="DV25" s="28">
        <f>IF(ISNA(VLOOKUP(DT25,Ferien!$A:$A,1,FALSE))=TRUE,0,1)</f>
        <v>1</v>
      </c>
      <c r="DW25" s="28">
        <f>IF(ISNA(VLOOKUP(DT25,Feiertage!$A:$A,1,FALSE))=TRUE,0,1)</f>
        <v>0</v>
      </c>
      <c r="DX25" s="28">
        <f>IF(ISNA(VLOOKUP(DT25,Termine!$A:$A,1,FALSE))=TRUE,0,1)</f>
        <v>0</v>
      </c>
      <c r="DY25" s="28" t="str">
        <f>IF(ISNA(VLOOKUP(DT25,Aufenthalte!$A:$B,2,FALSE))=TRUE,"",VLOOKUP(DT25,Aufenthalte!$A:$B,2,FALSE))</f>
        <v>Mama</v>
      </c>
      <c r="DZ25" s="25">
        <f t="shared" si="37"/>
        <v>23</v>
      </c>
      <c r="EA25" s="26">
        <f t="shared" si="38"/>
        <v>43457</v>
      </c>
      <c r="EB25" s="24" t="str">
        <f t="shared" si="39"/>
        <v/>
      </c>
      <c r="EC25" s="54" t="str">
        <f>IF(ISNA(VLOOKUP(DT25,Aufenthalte!$A:$G,7,FALSE))=TRUE,"",VLOOKUP(DT25,Aufenthalte!$A:$G,7,FALSE))</f>
        <v xml:space="preserve">
</v>
      </c>
      <c r="ED25" s="7" t="str">
        <f t="shared" si="70"/>
        <v/>
      </c>
      <c r="EE25" s="10"/>
      <c r="EF25" s="48"/>
      <c r="EG25" s="48"/>
      <c r="EH25" s="48"/>
      <c r="EI25" s="48"/>
      <c r="EJ25" s="48"/>
      <c r="EK25" s="48"/>
      <c r="EL25" s="48"/>
      <c r="EM25" s="9"/>
      <c r="EN25" s="122"/>
      <c r="EO25" s="123"/>
    </row>
    <row r="26" spans="2:145" s="1" customFormat="1" ht="21" customHeight="1">
      <c r="B26" s="8">
        <v>24</v>
      </c>
      <c r="C26" s="27">
        <f>DATE(Konfiguration!$B$2,1,$B26)</f>
        <v>43124</v>
      </c>
      <c r="D26" s="28">
        <f t="shared" si="45"/>
        <v>0</v>
      </c>
      <c r="E26" s="28">
        <f>IF(ISNA(VLOOKUP(C26,Ferien!$A:$A,1,FALSE))=TRUE,0,1)</f>
        <v>0</v>
      </c>
      <c r="F26" s="28">
        <f>IF(ISNA(VLOOKUP(C26,Feiertage!$A:$A,1,FALSE))=TRUE,0,1)</f>
        <v>0</v>
      </c>
      <c r="G26" s="28">
        <f>IF(ISNA(VLOOKUP(C26,Termine!$A:$A,1,FALSE))=TRUE,0,1)</f>
        <v>0</v>
      </c>
      <c r="H26" s="28" t="str">
        <f>IF(ISNA(VLOOKUP(C26,Aufenthalte!$A:$B,2,FALSE))=TRUE,"",VLOOKUP(C26,Aufenthalte!$A:$B,2,FALSE))</f>
        <v>Mama</v>
      </c>
      <c r="I26" s="25">
        <f t="shared" si="46"/>
        <v>24</v>
      </c>
      <c r="J26" s="26">
        <f t="shared" si="0"/>
        <v>43124</v>
      </c>
      <c r="K26" s="24" t="str">
        <f t="shared" si="47"/>
        <v/>
      </c>
      <c r="L26" s="54" t="str">
        <f>IF(ISNA(VLOOKUP(C26,Aufenthalte!$A:$G,7,FALSE))=TRUE,"",VLOOKUP(C26,Aufenthalte!$A:$G,7,FALSE))</f>
        <v xml:space="preserve">
</v>
      </c>
      <c r="M26" s="7" t="str">
        <f t="shared" si="77"/>
        <v/>
      </c>
      <c r="N26" s="27">
        <f>DATE(Konfiguration!$B$2,2,$B26)</f>
        <v>43155</v>
      </c>
      <c r="O26" s="28">
        <f t="shared" si="48"/>
        <v>1</v>
      </c>
      <c r="P26" s="28">
        <f>IF(ISNA(VLOOKUP(N26,Ferien!$A:$A,1,FALSE))=TRUE,0,1)</f>
        <v>0</v>
      </c>
      <c r="Q26" s="28">
        <f>IF(ISNA(VLOOKUP(N26,Feiertage!$A:$A,1,FALSE))=TRUE,0,1)</f>
        <v>0</v>
      </c>
      <c r="R26" s="28">
        <f>IF(ISNA(VLOOKUP(N26,Termine!$A:$A,1,FALSE))=TRUE,0,1)</f>
        <v>0</v>
      </c>
      <c r="S26" s="28" t="str">
        <f>IF(ISNA(VLOOKUP(N26,Aufenthalte!$A:$B,2,FALSE))=TRUE,"",VLOOKUP(N26,Aufenthalte!$A:$B,2,FALSE))</f>
        <v>Mama</v>
      </c>
      <c r="T26" s="25">
        <f t="shared" si="49"/>
        <v>24</v>
      </c>
      <c r="U26" s="26">
        <f t="shared" si="50"/>
        <v>43155</v>
      </c>
      <c r="V26" s="24" t="str">
        <f t="shared" si="2"/>
        <v/>
      </c>
      <c r="W26" s="54" t="str">
        <f>IF(ISNA(VLOOKUP(N26,Aufenthalte!$A:$G,7,FALSE))=TRUE,"",VLOOKUP(N26,Aufenthalte!$A:$G,7,FALSE))</f>
        <v xml:space="preserve">
</v>
      </c>
      <c r="X26" s="7" t="str">
        <f t="shared" si="51"/>
        <v/>
      </c>
      <c r="Y26" s="27">
        <f>DATE(Konfiguration!$B$2,3,$B26)</f>
        <v>43183</v>
      </c>
      <c r="Z26" s="28">
        <f t="shared" si="73"/>
        <v>1</v>
      </c>
      <c r="AA26" s="28">
        <f>IF(ISNA(VLOOKUP(Y26,Ferien!$A:$A,1,FALSE))=TRUE,0,1)</f>
        <v>0</v>
      </c>
      <c r="AB26" s="28">
        <f>IF(ISNA(VLOOKUP(Y26,Feiertage!$A:$A,1,FALSE))=TRUE,0,1)</f>
        <v>0</v>
      </c>
      <c r="AC26" s="28">
        <f>IF(ISNA(VLOOKUP(Y26,Termine!$A:$A,1,FALSE))=TRUE,0,1)</f>
        <v>0</v>
      </c>
      <c r="AD26" s="28" t="str">
        <f>IF(ISNA(VLOOKUP(Y26,Aufenthalte!$A:$B,2,FALSE))=TRUE,"",VLOOKUP(Y26,Aufenthalte!$A:$B,2,FALSE))</f>
        <v>Mama</v>
      </c>
      <c r="AE26" s="25">
        <f t="shared" si="74"/>
        <v>24</v>
      </c>
      <c r="AF26" s="26">
        <f t="shared" si="75"/>
        <v>43183</v>
      </c>
      <c r="AG26" s="24" t="str">
        <f t="shared" si="76"/>
        <v/>
      </c>
      <c r="AH26" s="54" t="str">
        <f>IF(ISNA(VLOOKUP(Y26,Aufenthalte!$A:$G,7,FALSE))=TRUE,"",VLOOKUP(Y26,Aufenthalte!$A:$G,7,FALSE))</f>
        <v xml:space="preserve">
</v>
      </c>
      <c r="AI26" s="7" t="str">
        <f t="shared" si="52"/>
        <v/>
      </c>
      <c r="AJ26" s="27">
        <f>DATE(Konfiguration!$B$2,4,$B26)</f>
        <v>43214</v>
      </c>
      <c r="AK26" s="28">
        <f t="shared" si="53"/>
        <v>0</v>
      </c>
      <c r="AL26" s="28">
        <f>IF(ISNA(VLOOKUP(AJ26,Ferien!$A:$A,1,FALSE))=TRUE,0,1)</f>
        <v>0</v>
      </c>
      <c r="AM26" s="28">
        <f>IF(ISNA(VLOOKUP(AJ26,Feiertage!$A:$A,1,FALSE))=TRUE,0,1)</f>
        <v>0</v>
      </c>
      <c r="AN26" s="28">
        <f>IF(ISNA(VLOOKUP(AJ26,Termine!$A:$A,1,FALSE))=TRUE,0,1)</f>
        <v>0</v>
      </c>
      <c r="AO26" s="28" t="str">
        <f>IF(ISNA(VLOOKUP(AJ26,Aufenthalte!$A:$B,2,FALSE))=TRUE,"",VLOOKUP(AJ26,Aufenthalte!$A:$B,2,FALSE))</f>
        <v>Mama</v>
      </c>
      <c r="AP26" s="25">
        <f t="shared" si="5"/>
        <v>24</v>
      </c>
      <c r="AQ26" s="26">
        <f t="shared" si="6"/>
        <v>43214</v>
      </c>
      <c r="AR26" s="24" t="str">
        <f t="shared" si="7"/>
        <v/>
      </c>
      <c r="AS26" s="54" t="str">
        <f>IF(ISNA(VLOOKUP(AJ26,Aufenthalte!$A:$G,7,FALSE))=TRUE,"",VLOOKUP(AJ26,Aufenthalte!$A:$G,7,FALSE))</f>
        <v xml:space="preserve">
</v>
      </c>
      <c r="AT26" s="7" t="str">
        <f t="shared" si="54"/>
        <v/>
      </c>
      <c r="AU26" s="27">
        <f>DATE(Konfiguration!$B$2,5,$B26)</f>
        <v>43244</v>
      </c>
      <c r="AV26" s="28">
        <f t="shared" si="55"/>
        <v>0</v>
      </c>
      <c r="AW26" s="28">
        <f>IF(ISNA(VLOOKUP(AU26,Ferien!$A:$A,1,FALSE))=TRUE,0,1)</f>
        <v>0</v>
      </c>
      <c r="AX26" s="28">
        <f>IF(ISNA(VLOOKUP(AU26,Feiertage!$A:$A,1,FALSE))=TRUE,0,1)</f>
        <v>0</v>
      </c>
      <c r="AY26" s="28">
        <f>IF(ISNA(VLOOKUP(AU26,Termine!$A:$A,1,FALSE))=TRUE,0,1)</f>
        <v>0</v>
      </c>
      <c r="AZ26" s="28" t="str">
        <f>IF(ISNA(VLOOKUP(AU26,Aufenthalte!$A:$B,2,FALSE))=TRUE,"",VLOOKUP(AU26,Aufenthalte!$A:$B,2,FALSE))</f>
        <v>Mama</v>
      </c>
      <c r="BA26" s="25">
        <f t="shared" si="9"/>
        <v>24</v>
      </c>
      <c r="BB26" s="26">
        <f t="shared" si="10"/>
        <v>43244</v>
      </c>
      <c r="BC26" s="24" t="str">
        <f t="shared" si="11"/>
        <v/>
      </c>
      <c r="BD26" s="54" t="str">
        <f>IF(ISNA(VLOOKUP(AU26,Aufenthalte!$A:$G,7,FALSE))=TRUE,"",VLOOKUP(AU26,Aufenthalte!$A:$G,7,FALSE))</f>
        <v xml:space="preserve">
</v>
      </c>
      <c r="BE26" s="7" t="str">
        <f t="shared" si="56"/>
        <v/>
      </c>
      <c r="BF26" s="27">
        <f>DATE(Konfiguration!$B$2,6,$B26)</f>
        <v>43275</v>
      </c>
      <c r="BG26" s="28">
        <f t="shared" si="57"/>
        <v>1</v>
      </c>
      <c r="BH26" s="28">
        <f>IF(ISNA(VLOOKUP(BF26,Ferien!$A:$A,1,FALSE))=TRUE,0,1)</f>
        <v>0</v>
      </c>
      <c r="BI26" s="28">
        <f>IF(ISNA(VLOOKUP(BF26,Feiertage!$A:$A,1,FALSE))=TRUE,0,1)</f>
        <v>0</v>
      </c>
      <c r="BJ26" s="28">
        <f>IF(ISNA(VLOOKUP(BF26,Termine!$A:$A,1,FALSE))=TRUE,0,1)</f>
        <v>0</v>
      </c>
      <c r="BK26" s="28" t="str">
        <f>IF(ISNA(VLOOKUP(BF26,Aufenthalte!$A:$B,2,FALSE))=TRUE,"",VLOOKUP(BF26,Aufenthalte!$A:$B,2,FALSE))</f>
        <v>Mama</v>
      </c>
      <c r="BL26" s="25">
        <f t="shared" si="13"/>
        <v>24</v>
      </c>
      <c r="BM26" s="26">
        <f t="shared" si="14"/>
        <v>43275</v>
      </c>
      <c r="BN26" s="24" t="str">
        <f t="shared" si="15"/>
        <v/>
      </c>
      <c r="BO26" s="54" t="str">
        <f>IF(ISNA(VLOOKUP(BF26,Aufenthalte!$A:$G,7,FALSE))=TRUE,"",VLOOKUP(BF26,Aufenthalte!$A:$G,7,FALSE))</f>
        <v xml:space="preserve">
</v>
      </c>
      <c r="BP26" s="7" t="str">
        <f t="shared" si="58"/>
        <v/>
      </c>
      <c r="BQ26" s="27">
        <f>DATE(Konfiguration!$B$2,7,$B26)</f>
        <v>43305</v>
      </c>
      <c r="BR26" s="28">
        <f t="shared" si="59"/>
        <v>0</v>
      </c>
      <c r="BS26" s="28">
        <f>IF(ISNA(VLOOKUP(BQ26,Ferien!$A:$A,1,FALSE))=TRUE,0,1)</f>
        <v>1</v>
      </c>
      <c r="BT26" s="28">
        <f>IF(ISNA(VLOOKUP(BQ26,Feiertage!$A:$A,1,FALSE))=TRUE,0,1)</f>
        <v>0</v>
      </c>
      <c r="BU26" s="28">
        <f>IF(ISNA(VLOOKUP(BQ26,Termine!$A:$A,1,FALSE))=TRUE,0,1)</f>
        <v>0</v>
      </c>
      <c r="BV26" s="28" t="str">
        <f>IF(ISNA(VLOOKUP(BQ26,Aufenthalte!$A:$B,2,FALSE))=TRUE,"",VLOOKUP(BQ26,Aufenthalte!$A:$B,2,FALSE))</f>
        <v>Mama</v>
      </c>
      <c r="BW26" s="25">
        <f t="shared" si="17"/>
        <v>24</v>
      </c>
      <c r="BX26" s="26">
        <f t="shared" si="18"/>
        <v>43305</v>
      </c>
      <c r="BY26" s="24" t="str">
        <f t="shared" si="19"/>
        <v/>
      </c>
      <c r="BZ26" s="54" t="str">
        <f>IF(ISNA(VLOOKUP(BQ26,Aufenthalte!$A:$G,7,FALSE))=TRUE,"",VLOOKUP(BQ26,Aufenthalte!$A:$G,7,FALSE))</f>
        <v xml:space="preserve">
</v>
      </c>
      <c r="CA26" s="7" t="str">
        <f t="shared" si="60"/>
        <v/>
      </c>
      <c r="CB26" s="27">
        <f>DATE(Konfiguration!$B$2,8,$B26)</f>
        <v>43336</v>
      </c>
      <c r="CC26" s="28">
        <f t="shared" si="61"/>
        <v>0</v>
      </c>
      <c r="CD26" s="28">
        <f>IF(ISNA(VLOOKUP(CB26,Ferien!$A:$A,1,FALSE))=TRUE,0,1)</f>
        <v>0</v>
      </c>
      <c r="CE26" s="28">
        <f>IF(ISNA(VLOOKUP(CB26,Feiertage!$A:$A,1,FALSE))=TRUE,0,1)</f>
        <v>0</v>
      </c>
      <c r="CF26" s="28">
        <f>IF(ISNA(VLOOKUP(CB26,Termine!$A:$A,1,FALSE))=TRUE,0,1)</f>
        <v>0</v>
      </c>
      <c r="CG26" s="28" t="str">
        <f>IF(ISNA(VLOOKUP(CB26,Aufenthalte!$A:$B,2,FALSE))=TRUE,"",VLOOKUP(CB26,Aufenthalte!$A:$B,2,FALSE))</f>
        <v>Mama</v>
      </c>
      <c r="CH26" s="25">
        <f t="shared" si="21"/>
        <v>24</v>
      </c>
      <c r="CI26" s="26">
        <f t="shared" si="22"/>
        <v>43336</v>
      </c>
      <c r="CJ26" s="24" t="str">
        <f t="shared" si="23"/>
        <v/>
      </c>
      <c r="CK26" s="54" t="str">
        <f>IF(ISNA(VLOOKUP(CB26,Aufenthalte!$A:$G,7,FALSE))=TRUE,"",VLOOKUP(CB26,Aufenthalte!$A:$G,7,FALSE))</f>
        <v xml:space="preserve">
</v>
      </c>
      <c r="CL26" s="7" t="str">
        <f t="shared" si="62"/>
        <v/>
      </c>
      <c r="CM26" s="27">
        <f>DATE(Konfiguration!$B$2,9,$B26)</f>
        <v>43367</v>
      </c>
      <c r="CN26" s="28">
        <f t="shared" si="63"/>
        <v>0</v>
      </c>
      <c r="CO26" s="28">
        <f>IF(ISNA(VLOOKUP(CM26,Ferien!$A:$A,1,FALSE))=TRUE,0,1)</f>
        <v>0</v>
      </c>
      <c r="CP26" s="28">
        <f>IF(ISNA(VLOOKUP(CM26,Feiertage!$A:$A,1,FALSE))=TRUE,0,1)</f>
        <v>0</v>
      </c>
      <c r="CQ26" s="28">
        <f>IF(ISNA(VLOOKUP(CM26,Termine!$A:$A,1,FALSE))=TRUE,0,1)</f>
        <v>0</v>
      </c>
      <c r="CR26" s="28" t="str">
        <f>IF(ISNA(VLOOKUP(CM26,Aufenthalte!$A:$B,2,FALSE))=TRUE,"",VLOOKUP(CM26,Aufenthalte!$A:$B,2,FALSE))</f>
        <v>Mama</v>
      </c>
      <c r="CS26" s="25">
        <f t="shared" si="25"/>
        <v>24</v>
      </c>
      <c r="CT26" s="26">
        <f t="shared" si="26"/>
        <v>43367</v>
      </c>
      <c r="CU26" s="24" t="str">
        <f t="shared" si="27"/>
        <v/>
      </c>
      <c r="CV26" s="54" t="str">
        <f>IF(ISNA(VLOOKUP(CM26,Aufenthalte!$A:$G,7,FALSE))=TRUE,"",VLOOKUP(CM26,Aufenthalte!$A:$G,7,FALSE))</f>
        <v xml:space="preserve">
</v>
      </c>
      <c r="CW26" s="7">
        <f t="shared" si="64"/>
        <v>39</v>
      </c>
      <c r="CX26" s="27">
        <f>DATE(Konfiguration!$B$2,10,$B26)</f>
        <v>43397</v>
      </c>
      <c r="CY26" s="28">
        <f t="shared" si="65"/>
        <v>0</v>
      </c>
      <c r="CZ26" s="28">
        <f>IF(ISNA(VLOOKUP(CX26,Ferien!$A:$A,1,FALSE))=TRUE,0,1)</f>
        <v>0</v>
      </c>
      <c r="DA26" s="28">
        <f>IF(ISNA(VLOOKUP(CX26,Feiertage!$A:$A,1,FALSE))=TRUE,0,1)</f>
        <v>0</v>
      </c>
      <c r="DB26" s="28">
        <f>IF(ISNA(VLOOKUP(CX26,Termine!$A:$A,1,FALSE))=TRUE,0,1)</f>
        <v>0</v>
      </c>
      <c r="DC26" s="28" t="str">
        <f>IF(ISNA(VLOOKUP(CX26,Aufenthalte!$A:$B,2,FALSE))=TRUE,"",VLOOKUP(CX26,Aufenthalte!$A:$B,2,FALSE))</f>
        <v>Mama</v>
      </c>
      <c r="DD26" s="25">
        <f t="shared" si="29"/>
        <v>24</v>
      </c>
      <c r="DE26" s="26">
        <f t="shared" si="30"/>
        <v>43397</v>
      </c>
      <c r="DF26" s="24" t="str">
        <f t="shared" si="31"/>
        <v/>
      </c>
      <c r="DG26" s="54" t="str">
        <f>IF(ISNA(VLOOKUP(CX26,Aufenthalte!$A:$G,7,FALSE))=TRUE,"",VLOOKUP(CX26,Aufenthalte!$A:$G,7,FALSE))</f>
        <v xml:space="preserve">
</v>
      </c>
      <c r="DH26" s="7" t="str">
        <f t="shared" si="66"/>
        <v/>
      </c>
      <c r="DI26" s="27">
        <f>DATE(Konfiguration!$B$2,11,$B26)</f>
        <v>43428</v>
      </c>
      <c r="DJ26" s="28">
        <f t="shared" si="67"/>
        <v>1</v>
      </c>
      <c r="DK26" s="28">
        <f>IF(ISNA(VLOOKUP(DI26,Ferien!$A:$A,1,FALSE))=TRUE,0,1)</f>
        <v>0</v>
      </c>
      <c r="DL26" s="28">
        <f>IF(ISNA(VLOOKUP(DI26,Feiertage!$A:$A,1,FALSE))=TRUE,0,1)</f>
        <v>0</v>
      </c>
      <c r="DM26" s="28">
        <f>IF(ISNA(VLOOKUP(DI26,Termine!$A:$A,1,FALSE))=TRUE,0,1)</f>
        <v>0</v>
      </c>
      <c r="DN26" s="28" t="str">
        <f>IF(ISNA(VLOOKUP(DI26,Aufenthalte!$A:$B,2,FALSE))=TRUE,"",VLOOKUP(DI26,Aufenthalte!$A:$B,2,FALSE))</f>
        <v>Mama</v>
      </c>
      <c r="DO26" s="25">
        <f t="shared" si="33"/>
        <v>24</v>
      </c>
      <c r="DP26" s="26">
        <f t="shared" si="34"/>
        <v>43428</v>
      </c>
      <c r="DQ26" s="24" t="str">
        <f t="shared" si="35"/>
        <v/>
      </c>
      <c r="DR26" s="54" t="str">
        <f>IF(ISNA(VLOOKUP(DI26,Aufenthalte!$A:$G,7,FALSE))=TRUE,"",VLOOKUP(DI26,Aufenthalte!$A:$G,7,FALSE))</f>
        <v xml:space="preserve">
</v>
      </c>
      <c r="DS26" s="7" t="str">
        <f t="shared" si="68"/>
        <v/>
      </c>
      <c r="DT26" s="27">
        <f>DATE(Konfiguration!$B$2,12,$B26)</f>
        <v>43458</v>
      </c>
      <c r="DU26" s="28">
        <f t="shared" si="69"/>
        <v>0</v>
      </c>
      <c r="DV26" s="28">
        <f>IF(ISNA(VLOOKUP(DT26,Ferien!$A:$A,1,FALSE))=TRUE,0,1)</f>
        <v>1</v>
      </c>
      <c r="DW26" s="28">
        <f>IF(ISNA(VLOOKUP(DT26,Feiertage!$A:$A,1,FALSE))=TRUE,0,1)</f>
        <v>0</v>
      </c>
      <c r="DX26" s="28">
        <f>IF(ISNA(VLOOKUP(DT26,Termine!$A:$A,1,FALSE))=TRUE,0,1)</f>
        <v>0</v>
      </c>
      <c r="DY26" s="28" t="str">
        <f>IF(ISNA(VLOOKUP(DT26,Aufenthalte!$A:$B,2,FALSE))=TRUE,"",VLOOKUP(DT26,Aufenthalte!$A:$B,2,FALSE))</f>
        <v>Mama</v>
      </c>
      <c r="DZ26" s="25">
        <f t="shared" si="37"/>
        <v>24</v>
      </c>
      <c r="EA26" s="26">
        <f t="shared" si="38"/>
        <v>43458</v>
      </c>
      <c r="EB26" s="24" t="str">
        <f t="shared" si="39"/>
        <v/>
      </c>
      <c r="EC26" s="54" t="str">
        <f>IF(ISNA(VLOOKUP(DT26,Aufenthalte!$A:$G,7,FALSE))=TRUE,"",VLOOKUP(DT26,Aufenthalte!$A:$G,7,FALSE))</f>
        <v xml:space="preserve">
</v>
      </c>
      <c r="ED26" s="7">
        <f t="shared" si="70"/>
        <v>52</v>
      </c>
      <c r="EE26" s="10"/>
      <c r="EF26" s="48"/>
      <c r="EG26" s="48"/>
      <c r="EH26" s="48"/>
      <c r="EI26" s="48"/>
      <c r="EJ26" s="48"/>
      <c r="EK26" s="48"/>
      <c r="EL26" s="48"/>
      <c r="EM26" s="9"/>
      <c r="EN26" s="122"/>
      <c r="EO26" s="123"/>
    </row>
    <row r="27" spans="2:145" s="1" customFormat="1" ht="21" customHeight="1">
      <c r="B27" s="8">
        <v>25</v>
      </c>
      <c r="C27" s="27">
        <f>DATE(Konfiguration!$B$2,1,$B27)</f>
        <v>43125</v>
      </c>
      <c r="D27" s="28">
        <f t="shared" si="45"/>
        <v>0</v>
      </c>
      <c r="E27" s="28">
        <f>IF(ISNA(VLOOKUP(C27,Ferien!$A:$A,1,FALSE))=TRUE,0,1)</f>
        <v>0</v>
      </c>
      <c r="F27" s="28">
        <f>IF(ISNA(VLOOKUP(C27,Feiertage!$A:$A,1,FALSE))=TRUE,0,1)</f>
        <v>0</v>
      </c>
      <c r="G27" s="28">
        <f>IF(ISNA(VLOOKUP(C27,Termine!$A:$A,1,FALSE))=TRUE,0,1)</f>
        <v>0</v>
      </c>
      <c r="H27" s="28" t="str">
        <f>IF(ISNA(VLOOKUP(C27,Aufenthalte!$A:$B,2,FALSE))=TRUE,"",VLOOKUP(C27,Aufenthalte!$A:$B,2,FALSE))</f>
        <v>Mama</v>
      </c>
      <c r="I27" s="25">
        <f t="shared" si="46"/>
        <v>25</v>
      </c>
      <c r="J27" s="26">
        <f t="shared" si="0"/>
        <v>43125</v>
      </c>
      <c r="K27" s="24" t="str">
        <f t="shared" si="47"/>
        <v/>
      </c>
      <c r="L27" s="54" t="str">
        <f>IF(ISNA(VLOOKUP(C27,Aufenthalte!$A:$G,7,FALSE))=TRUE,"",VLOOKUP(C27,Aufenthalte!$A:$G,7,FALSE))</f>
        <v xml:space="preserve">
</v>
      </c>
      <c r="M27" s="7" t="str">
        <f t="shared" si="77"/>
        <v/>
      </c>
      <c r="N27" s="27">
        <f>DATE(Konfiguration!$B$2,2,$B27)</f>
        <v>43156</v>
      </c>
      <c r="O27" s="28">
        <f t="shared" si="48"/>
        <v>1</v>
      </c>
      <c r="P27" s="28">
        <f>IF(ISNA(VLOOKUP(N27,Ferien!$A:$A,1,FALSE))=TRUE,0,1)</f>
        <v>0</v>
      </c>
      <c r="Q27" s="28">
        <f>IF(ISNA(VLOOKUP(N27,Feiertage!$A:$A,1,FALSE))=TRUE,0,1)</f>
        <v>0</v>
      </c>
      <c r="R27" s="28">
        <f>IF(ISNA(VLOOKUP(N27,Termine!$A:$A,1,FALSE))=TRUE,0,1)</f>
        <v>0</v>
      </c>
      <c r="S27" s="28" t="str">
        <f>IF(ISNA(VLOOKUP(N27,Aufenthalte!$A:$B,2,FALSE))=TRUE,"",VLOOKUP(N27,Aufenthalte!$A:$B,2,FALSE))</f>
        <v>Mama</v>
      </c>
      <c r="T27" s="25">
        <f t="shared" si="49"/>
        <v>25</v>
      </c>
      <c r="U27" s="26">
        <f t="shared" si="50"/>
        <v>43156</v>
      </c>
      <c r="V27" s="24" t="str">
        <f t="shared" si="2"/>
        <v/>
      </c>
      <c r="W27" s="54" t="str">
        <f>IF(ISNA(VLOOKUP(N27,Aufenthalte!$A:$G,7,FALSE))=TRUE,"",VLOOKUP(N27,Aufenthalte!$A:$G,7,FALSE))</f>
        <v xml:space="preserve">
</v>
      </c>
      <c r="X27" s="7" t="str">
        <f t="shared" si="51"/>
        <v/>
      </c>
      <c r="Y27" s="27">
        <f>DATE(Konfiguration!$B$2,3,$B27)</f>
        <v>43184</v>
      </c>
      <c r="Z27" s="28">
        <f t="shared" si="73"/>
        <v>1</v>
      </c>
      <c r="AA27" s="28">
        <f>IF(ISNA(VLOOKUP(Y27,Ferien!$A:$A,1,FALSE))=TRUE,0,1)</f>
        <v>0</v>
      </c>
      <c r="AB27" s="28">
        <f>IF(ISNA(VLOOKUP(Y27,Feiertage!$A:$A,1,FALSE))=TRUE,0,1)</f>
        <v>0</v>
      </c>
      <c r="AC27" s="28">
        <f>IF(ISNA(VLOOKUP(Y27,Termine!$A:$A,1,FALSE))=TRUE,0,1)</f>
        <v>0</v>
      </c>
      <c r="AD27" s="28" t="str">
        <f>IF(ISNA(VLOOKUP(Y27,Aufenthalte!$A:$B,2,FALSE))=TRUE,"",VLOOKUP(Y27,Aufenthalte!$A:$B,2,FALSE))</f>
        <v>Mama</v>
      </c>
      <c r="AE27" s="25">
        <f t="shared" si="74"/>
        <v>25</v>
      </c>
      <c r="AF27" s="26">
        <f t="shared" si="75"/>
        <v>43184</v>
      </c>
      <c r="AG27" s="24" t="str">
        <f t="shared" si="76"/>
        <v/>
      </c>
      <c r="AH27" s="54" t="str">
        <f>IF(ISNA(VLOOKUP(Y27,Aufenthalte!$A:$G,7,FALSE))=TRUE,"",VLOOKUP(Y27,Aufenthalte!$A:$G,7,FALSE))</f>
        <v xml:space="preserve">
</v>
      </c>
      <c r="AI27" s="7" t="str">
        <f t="shared" si="52"/>
        <v/>
      </c>
      <c r="AJ27" s="27">
        <f>DATE(Konfiguration!$B$2,4,$B27)</f>
        <v>43215</v>
      </c>
      <c r="AK27" s="28">
        <f t="shared" si="53"/>
        <v>0</v>
      </c>
      <c r="AL27" s="28">
        <f>IF(ISNA(VLOOKUP(AJ27,Ferien!$A:$A,1,FALSE))=TRUE,0,1)</f>
        <v>0</v>
      </c>
      <c r="AM27" s="28">
        <f>IF(ISNA(VLOOKUP(AJ27,Feiertage!$A:$A,1,FALSE))=TRUE,0,1)</f>
        <v>0</v>
      </c>
      <c r="AN27" s="28">
        <f>IF(ISNA(VLOOKUP(AJ27,Termine!$A:$A,1,FALSE))=TRUE,0,1)</f>
        <v>0</v>
      </c>
      <c r="AO27" s="28" t="str">
        <f>IF(ISNA(VLOOKUP(AJ27,Aufenthalte!$A:$B,2,FALSE))=TRUE,"",VLOOKUP(AJ27,Aufenthalte!$A:$B,2,FALSE))</f>
        <v>Mama</v>
      </c>
      <c r="AP27" s="25">
        <f t="shared" si="5"/>
        <v>25</v>
      </c>
      <c r="AQ27" s="26">
        <f t="shared" si="6"/>
        <v>43215</v>
      </c>
      <c r="AR27" s="24" t="str">
        <f t="shared" si="7"/>
        <v/>
      </c>
      <c r="AS27" s="54" t="str">
        <f>IF(ISNA(VLOOKUP(AJ27,Aufenthalte!$A:$G,7,FALSE))=TRUE,"",VLOOKUP(AJ27,Aufenthalte!$A:$G,7,FALSE))</f>
        <v xml:space="preserve">
</v>
      </c>
      <c r="AT27" s="7" t="str">
        <f t="shared" si="54"/>
        <v/>
      </c>
      <c r="AU27" s="27">
        <f>DATE(Konfiguration!$B$2,5,$B27)</f>
        <v>43245</v>
      </c>
      <c r="AV27" s="28">
        <f t="shared" si="55"/>
        <v>0</v>
      </c>
      <c r="AW27" s="28">
        <f>IF(ISNA(VLOOKUP(AU27,Ferien!$A:$A,1,FALSE))=TRUE,0,1)</f>
        <v>0</v>
      </c>
      <c r="AX27" s="28">
        <f>IF(ISNA(VLOOKUP(AU27,Feiertage!$A:$A,1,FALSE))=TRUE,0,1)</f>
        <v>0</v>
      </c>
      <c r="AY27" s="28">
        <f>IF(ISNA(VLOOKUP(AU27,Termine!$A:$A,1,FALSE))=TRUE,0,1)</f>
        <v>0</v>
      </c>
      <c r="AZ27" s="28" t="str">
        <f>IF(ISNA(VLOOKUP(AU27,Aufenthalte!$A:$B,2,FALSE))=TRUE,"",VLOOKUP(AU27,Aufenthalte!$A:$B,2,FALSE))</f>
        <v>Mama</v>
      </c>
      <c r="BA27" s="25">
        <f t="shared" si="9"/>
        <v>25</v>
      </c>
      <c r="BB27" s="26">
        <f t="shared" si="10"/>
        <v>43245</v>
      </c>
      <c r="BC27" s="24" t="str">
        <f t="shared" si="11"/>
        <v/>
      </c>
      <c r="BD27" s="54" t="str">
        <f>IF(ISNA(VLOOKUP(AU27,Aufenthalte!$A:$G,7,FALSE))=TRUE,"",VLOOKUP(AU27,Aufenthalte!$A:$G,7,FALSE))</f>
        <v xml:space="preserve">
</v>
      </c>
      <c r="BE27" s="7" t="str">
        <f t="shared" si="56"/>
        <v/>
      </c>
      <c r="BF27" s="27">
        <f>DATE(Konfiguration!$B$2,6,$B27)</f>
        <v>43276</v>
      </c>
      <c r="BG27" s="28">
        <f t="shared" si="57"/>
        <v>0</v>
      </c>
      <c r="BH27" s="28">
        <f>IF(ISNA(VLOOKUP(BF27,Ferien!$A:$A,1,FALSE))=TRUE,0,1)</f>
        <v>1</v>
      </c>
      <c r="BI27" s="28">
        <f>IF(ISNA(VLOOKUP(BF27,Feiertage!$A:$A,1,FALSE))=TRUE,0,1)</f>
        <v>0</v>
      </c>
      <c r="BJ27" s="28">
        <f>IF(ISNA(VLOOKUP(BF27,Termine!$A:$A,1,FALSE))=TRUE,0,1)</f>
        <v>0</v>
      </c>
      <c r="BK27" s="28" t="str">
        <f>IF(ISNA(VLOOKUP(BF27,Aufenthalte!$A:$B,2,FALSE))=TRUE,"",VLOOKUP(BF27,Aufenthalte!$A:$B,2,FALSE))</f>
        <v>Mama</v>
      </c>
      <c r="BL27" s="25">
        <f t="shared" si="13"/>
        <v>25</v>
      </c>
      <c r="BM27" s="26">
        <f t="shared" si="14"/>
        <v>43276</v>
      </c>
      <c r="BN27" s="24" t="str">
        <f t="shared" si="15"/>
        <v/>
      </c>
      <c r="BO27" s="54" t="str">
        <f>IF(ISNA(VLOOKUP(BF27,Aufenthalte!$A:$G,7,FALSE))=TRUE,"",VLOOKUP(BF27,Aufenthalte!$A:$G,7,FALSE))</f>
        <v xml:space="preserve">
</v>
      </c>
      <c r="BP27" s="7">
        <f t="shared" si="58"/>
        <v>26</v>
      </c>
      <c r="BQ27" s="27">
        <f>DATE(Konfiguration!$B$2,7,$B27)</f>
        <v>43306</v>
      </c>
      <c r="BR27" s="28">
        <f t="shared" si="59"/>
        <v>0</v>
      </c>
      <c r="BS27" s="28">
        <f>IF(ISNA(VLOOKUP(BQ27,Ferien!$A:$A,1,FALSE))=TRUE,0,1)</f>
        <v>1</v>
      </c>
      <c r="BT27" s="28">
        <f>IF(ISNA(VLOOKUP(BQ27,Feiertage!$A:$A,1,FALSE))=TRUE,0,1)</f>
        <v>0</v>
      </c>
      <c r="BU27" s="28">
        <f>IF(ISNA(VLOOKUP(BQ27,Termine!$A:$A,1,FALSE))=TRUE,0,1)</f>
        <v>0</v>
      </c>
      <c r="BV27" s="28" t="str">
        <f>IF(ISNA(VLOOKUP(BQ27,Aufenthalte!$A:$B,2,FALSE))=TRUE,"",VLOOKUP(BQ27,Aufenthalte!$A:$B,2,FALSE))</f>
        <v>Mama</v>
      </c>
      <c r="BW27" s="25">
        <f t="shared" si="17"/>
        <v>25</v>
      </c>
      <c r="BX27" s="26">
        <f t="shared" si="18"/>
        <v>43306</v>
      </c>
      <c r="BY27" s="24" t="str">
        <f t="shared" si="19"/>
        <v/>
      </c>
      <c r="BZ27" s="54" t="str">
        <f>IF(ISNA(VLOOKUP(BQ27,Aufenthalte!$A:$G,7,FALSE))=TRUE,"",VLOOKUP(BQ27,Aufenthalte!$A:$G,7,FALSE))</f>
        <v xml:space="preserve">
</v>
      </c>
      <c r="CA27" s="7" t="str">
        <f t="shared" si="60"/>
        <v/>
      </c>
      <c r="CB27" s="27">
        <f>DATE(Konfiguration!$B$2,8,$B27)</f>
        <v>43337</v>
      </c>
      <c r="CC27" s="28">
        <f t="shared" si="61"/>
        <v>1</v>
      </c>
      <c r="CD27" s="28">
        <f>IF(ISNA(VLOOKUP(CB27,Ferien!$A:$A,1,FALSE))=TRUE,0,1)</f>
        <v>0</v>
      </c>
      <c r="CE27" s="28">
        <f>IF(ISNA(VLOOKUP(CB27,Feiertage!$A:$A,1,FALSE))=TRUE,0,1)</f>
        <v>0</v>
      </c>
      <c r="CF27" s="28">
        <f>IF(ISNA(VLOOKUP(CB27,Termine!$A:$A,1,FALSE))=TRUE,0,1)</f>
        <v>0</v>
      </c>
      <c r="CG27" s="28" t="str">
        <f>IF(ISNA(VLOOKUP(CB27,Aufenthalte!$A:$B,2,FALSE))=TRUE,"",VLOOKUP(CB27,Aufenthalte!$A:$B,2,FALSE))</f>
        <v>Mama</v>
      </c>
      <c r="CH27" s="25">
        <f t="shared" si="21"/>
        <v>25</v>
      </c>
      <c r="CI27" s="26">
        <f t="shared" si="22"/>
        <v>43337</v>
      </c>
      <c r="CJ27" s="24" t="str">
        <f t="shared" si="23"/>
        <v/>
      </c>
      <c r="CK27" s="54" t="str">
        <f>IF(ISNA(VLOOKUP(CB27,Aufenthalte!$A:$G,7,FALSE))=TRUE,"",VLOOKUP(CB27,Aufenthalte!$A:$G,7,FALSE))</f>
        <v xml:space="preserve">
</v>
      </c>
      <c r="CL27" s="7" t="str">
        <f t="shared" si="62"/>
        <v/>
      </c>
      <c r="CM27" s="27">
        <f>DATE(Konfiguration!$B$2,9,$B27)</f>
        <v>43368</v>
      </c>
      <c r="CN27" s="28">
        <f t="shared" si="63"/>
        <v>0</v>
      </c>
      <c r="CO27" s="28">
        <f>IF(ISNA(VLOOKUP(CM27,Ferien!$A:$A,1,FALSE))=TRUE,0,1)</f>
        <v>0</v>
      </c>
      <c r="CP27" s="28">
        <f>IF(ISNA(VLOOKUP(CM27,Feiertage!$A:$A,1,FALSE))=TRUE,0,1)</f>
        <v>0</v>
      </c>
      <c r="CQ27" s="28">
        <f>IF(ISNA(VLOOKUP(CM27,Termine!$A:$A,1,FALSE))=TRUE,0,1)</f>
        <v>0</v>
      </c>
      <c r="CR27" s="28" t="str">
        <f>IF(ISNA(VLOOKUP(CM27,Aufenthalte!$A:$B,2,FALSE))=TRUE,"",VLOOKUP(CM27,Aufenthalte!$A:$B,2,FALSE))</f>
        <v>Mama</v>
      </c>
      <c r="CS27" s="25">
        <f t="shared" si="25"/>
        <v>25</v>
      </c>
      <c r="CT27" s="26">
        <f t="shared" si="26"/>
        <v>43368</v>
      </c>
      <c r="CU27" s="24" t="str">
        <f t="shared" si="27"/>
        <v/>
      </c>
      <c r="CV27" s="54" t="str">
        <f>IF(ISNA(VLOOKUP(CM27,Aufenthalte!$A:$G,7,FALSE))=TRUE,"",VLOOKUP(CM27,Aufenthalte!$A:$G,7,FALSE))</f>
        <v xml:space="preserve">
</v>
      </c>
      <c r="CW27" s="7" t="str">
        <f t="shared" si="64"/>
        <v/>
      </c>
      <c r="CX27" s="27">
        <f>DATE(Konfiguration!$B$2,10,$B27)</f>
        <v>43398</v>
      </c>
      <c r="CY27" s="28">
        <f t="shared" si="65"/>
        <v>0</v>
      </c>
      <c r="CZ27" s="28">
        <f>IF(ISNA(VLOOKUP(CX27,Ferien!$A:$A,1,FALSE))=TRUE,0,1)</f>
        <v>0</v>
      </c>
      <c r="DA27" s="28">
        <f>IF(ISNA(VLOOKUP(CX27,Feiertage!$A:$A,1,FALSE))=TRUE,0,1)</f>
        <v>0</v>
      </c>
      <c r="DB27" s="28">
        <f>IF(ISNA(VLOOKUP(CX27,Termine!$A:$A,1,FALSE))=TRUE,0,1)</f>
        <v>0</v>
      </c>
      <c r="DC27" s="28" t="str">
        <f>IF(ISNA(VLOOKUP(CX27,Aufenthalte!$A:$B,2,FALSE))=TRUE,"",VLOOKUP(CX27,Aufenthalte!$A:$B,2,FALSE))</f>
        <v>Mama</v>
      </c>
      <c r="DD27" s="25">
        <f t="shared" si="29"/>
        <v>25</v>
      </c>
      <c r="DE27" s="26">
        <f t="shared" si="30"/>
        <v>43398</v>
      </c>
      <c r="DF27" s="24" t="str">
        <f t="shared" si="31"/>
        <v/>
      </c>
      <c r="DG27" s="54" t="str">
        <f>IF(ISNA(VLOOKUP(CX27,Aufenthalte!$A:$G,7,FALSE))=TRUE,"",VLOOKUP(CX27,Aufenthalte!$A:$G,7,FALSE))</f>
        <v xml:space="preserve">
</v>
      </c>
      <c r="DH27" s="7" t="str">
        <f t="shared" si="66"/>
        <v/>
      </c>
      <c r="DI27" s="27">
        <f>DATE(Konfiguration!$B$2,11,$B27)</f>
        <v>43429</v>
      </c>
      <c r="DJ27" s="28">
        <f t="shared" si="67"/>
        <v>1</v>
      </c>
      <c r="DK27" s="28">
        <f>IF(ISNA(VLOOKUP(DI27,Ferien!$A:$A,1,FALSE))=TRUE,0,1)</f>
        <v>0</v>
      </c>
      <c r="DL27" s="28">
        <f>IF(ISNA(VLOOKUP(DI27,Feiertage!$A:$A,1,FALSE))=TRUE,0,1)</f>
        <v>0</v>
      </c>
      <c r="DM27" s="28">
        <f>IF(ISNA(VLOOKUP(DI27,Termine!$A:$A,1,FALSE))=TRUE,0,1)</f>
        <v>0</v>
      </c>
      <c r="DN27" s="28" t="str">
        <f>IF(ISNA(VLOOKUP(DI27,Aufenthalte!$A:$B,2,FALSE))=TRUE,"",VLOOKUP(DI27,Aufenthalte!$A:$B,2,FALSE))</f>
        <v>Mama</v>
      </c>
      <c r="DO27" s="25">
        <f t="shared" si="33"/>
        <v>25</v>
      </c>
      <c r="DP27" s="26">
        <f t="shared" si="34"/>
        <v>43429</v>
      </c>
      <c r="DQ27" s="24" t="str">
        <f t="shared" si="35"/>
        <v/>
      </c>
      <c r="DR27" s="54" t="str">
        <f>IF(ISNA(VLOOKUP(DI27,Aufenthalte!$A:$G,7,FALSE))=TRUE,"",VLOOKUP(DI27,Aufenthalte!$A:$G,7,FALSE))</f>
        <v xml:space="preserve">
</v>
      </c>
      <c r="DS27" s="7" t="str">
        <f t="shared" si="68"/>
        <v/>
      </c>
      <c r="DT27" s="27">
        <f>DATE(Konfiguration!$B$2,12,$B27)</f>
        <v>43459</v>
      </c>
      <c r="DU27" s="28">
        <f t="shared" si="69"/>
        <v>0</v>
      </c>
      <c r="DV27" s="28">
        <f>IF(ISNA(VLOOKUP(DT27,Ferien!$A:$A,1,FALSE))=TRUE,0,1)</f>
        <v>1</v>
      </c>
      <c r="DW27" s="28">
        <f>IF(ISNA(VLOOKUP(DT27,Feiertage!$A:$A,1,FALSE))=TRUE,0,1)</f>
        <v>1</v>
      </c>
      <c r="DX27" s="28">
        <f>IF(ISNA(VLOOKUP(DT27,Termine!$A:$A,1,FALSE))=TRUE,0,1)</f>
        <v>0</v>
      </c>
      <c r="DY27" s="28" t="str">
        <f>IF(ISNA(VLOOKUP(DT27,Aufenthalte!$A:$B,2,FALSE))=TRUE,"",VLOOKUP(DT27,Aufenthalte!$A:$B,2,FALSE))</f>
        <v>Mama</v>
      </c>
      <c r="DZ27" s="25">
        <f t="shared" si="37"/>
        <v>25</v>
      </c>
      <c r="EA27" s="26">
        <f t="shared" si="38"/>
        <v>43459</v>
      </c>
      <c r="EB27" s="24" t="str">
        <f t="shared" si="39"/>
        <v/>
      </c>
      <c r="EC27" s="54" t="str">
        <f>IF(ISNA(VLOOKUP(DT27,Aufenthalte!$A:$G,7,FALSE))=TRUE,"",VLOOKUP(DT27,Aufenthalte!$A:$G,7,FALSE))</f>
        <v xml:space="preserve">
</v>
      </c>
      <c r="ED27" s="7" t="str">
        <f t="shared" si="70"/>
        <v/>
      </c>
      <c r="EE27" s="10"/>
      <c r="EF27" s="48"/>
      <c r="EG27" s="48"/>
      <c r="EH27" s="48"/>
      <c r="EI27" s="48"/>
      <c r="EJ27" s="48"/>
      <c r="EK27" s="48"/>
      <c r="EL27" s="48"/>
      <c r="EM27" s="9"/>
      <c r="EN27" s="122"/>
      <c r="EO27" s="123"/>
    </row>
    <row r="28" spans="2:145" s="1" customFormat="1" ht="21" customHeight="1">
      <c r="B28" s="8">
        <v>26</v>
      </c>
      <c r="C28" s="27">
        <f>DATE(Konfiguration!$B$2,1,$B28)</f>
        <v>43126</v>
      </c>
      <c r="D28" s="28">
        <f t="shared" si="45"/>
        <v>0</v>
      </c>
      <c r="E28" s="28">
        <f>IF(ISNA(VLOOKUP(C28,Ferien!$A:$A,1,FALSE))=TRUE,0,1)</f>
        <v>0</v>
      </c>
      <c r="F28" s="28">
        <f>IF(ISNA(VLOOKUP(C28,Feiertage!$A:$A,1,FALSE))=TRUE,0,1)</f>
        <v>0</v>
      </c>
      <c r="G28" s="28">
        <f>IF(ISNA(VLOOKUP(C28,Termine!$A:$A,1,FALSE))=TRUE,0,1)</f>
        <v>0</v>
      </c>
      <c r="H28" s="28" t="str">
        <f>IF(ISNA(VLOOKUP(C28,Aufenthalte!$A:$B,2,FALSE))=TRUE,"",VLOOKUP(C28,Aufenthalte!$A:$B,2,FALSE))</f>
        <v>Papa</v>
      </c>
      <c r="I28" s="25">
        <f t="shared" si="46"/>
        <v>26</v>
      </c>
      <c r="J28" s="26">
        <f t="shared" si="0"/>
        <v>43126</v>
      </c>
      <c r="K28" s="24" t="str">
        <f t="shared" si="47"/>
        <v/>
      </c>
      <c r="L28" s="54" t="str">
        <f>IF(ISNA(VLOOKUP(C28,Aufenthalte!$A:$G,7,FALSE))=TRUE,"",VLOOKUP(C28,Aufenthalte!$A:$G,7,FALSE))</f>
        <v xml:space="preserve">17:00
</v>
      </c>
      <c r="M28" s="7" t="str">
        <f t="shared" si="77"/>
        <v/>
      </c>
      <c r="N28" s="27">
        <f>DATE(Konfiguration!$B$2,2,$B28)</f>
        <v>43157</v>
      </c>
      <c r="O28" s="28">
        <f t="shared" si="48"/>
        <v>0</v>
      </c>
      <c r="P28" s="28">
        <f>IF(ISNA(VLOOKUP(N28,Ferien!$A:$A,1,FALSE))=TRUE,0,1)</f>
        <v>0</v>
      </c>
      <c r="Q28" s="28">
        <f>IF(ISNA(VLOOKUP(N28,Feiertage!$A:$A,1,FALSE))=TRUE,0,1)</f>
        <v>0</v>
      </c>
      <c r="R28" s="28">
        <f>IF(ISNA(VLOOKUP(N28,Termine!$A:$A,1,FALSE))=TRUE,0,1)</f>
        <v>0</v>
      </c>
      <c r="S28" s="28" t="str">
        <f>IF(ISNA(VLOOKUP(N28,Aufenthalte!$A:$B,2,FALSE))=TRUE,"",VLOOKUP(N28,Aufenthalte!$A:$B,2,FALSE))</f>
        <v>Mama</v>
      </c>
      <c r="T28" s="25">
        <f t="shared" si="49"/>
        <v>26</v>
      </c>
      <c r="U28" s="26">
        <f t="shared" si="50"/>
        <v>43157</v>
      </c>
      <c r="V28" s="24" t="str">
        <f t="shared" si="2"/>
        <v/>
      </c>
      <c r="W28" s="54" t="str">
        <f>IF(ISNA(VLOOKUP(N28,Aufenthalte!$A:$G,7,FALSE))=TRUE,"",VLOOKUP(N28,Aufenthalte!$A:$G,7,FALSE))</f>
        <v xml:space="preserve">
</v>
      </c>
      <c r="X28" s="7">
        <f t="shared" si="51"/>
        <v>9</v>
      </c>
      <c r="Y28" s="27">
        <f>DATE(Konfiguration!$B$2,3,$B28)</f>
        <v>43185</v>
      </c>
      <c r="Z28" s="28">
        <f t="shared" si="73"/>
        <v>0</v>
      </c>
      <c r="AA28" s="28">
        <f>IF(ISNA(VLOOKUP(Y28,Ferien!$A:$A,1,FALSE))=TRUE,0,1)</f>
        <v>1</v>
      </c>
      <c r="AB28" s="28">
        <f>IF(ISNA(VLOOKUP(Y28,Feiertage!$A:$A,1,FALSE))=TRUE,0,1)</f>
        <v>0</v>
      </c>
      <c r="AC28" s="28">
        <f>IF(ISNA(VLOOKUP(Y28,Termine!$A:$A,1,FALSE))=TRUE,0,1)</f>
        <v>0</v>
      </c>
      <c r="AD28" s="28" t="str">
        <f>IF(ISNA(VLOOKUP(Y28,Aufenthalte!$A:$B,2,FALSE))=TRUE,"",VLOOKUP(Y28,Aufenthalte!$A:$B,2,FALSE))</f>
        <v>Mama</v>
      </c>
      <c r="AE28" s="25">
        <f t="shared" si="74"/>
        <v>26</v>
      </c>
      <c r="AF28" s="26">
        <f t="shared" si="75"/>
        <v>43185</v>
      </c>
      <c r="AG28" s="24" t="str">
        <f t="shared" si="76"/>
        <v/>
      </c>
      <c r="AH28" s="54" t="str">
        <f>IF(ISNA(VLOOKUP(Y28,Aufenthalte!$A:$G,7,FALSE))=TRUE,"",VLOOKUP(Y28,Aufenthalte!$A:$G,7,FALSE))</f>
        <v xml:space="preserve">
</v>
      </c>
      <c r="AI28" s="7">
        <f t="shared" si="52"/>
        <v>13</v>
      </c>
      <c r="AJ28" s="27">
        <f>DATE(Konfiguration!$B$2,4,$B28)</f>
        <v>43216</v>
      </c>
      <c r="AK28" s="28">
        <f t="shared" si="53"/>
        <v>0</v>
      </c>
      <c r="AL28" s="28">
        <f>IF(ISNA(VLOOKUP(AJ28,Ferien!$A:$A,1,FALSE))=TRUE,0,1)</f>
        <v>0</v>
      </c>
      <c r="AM28" s="28">
        <f>IF(ISNA(VLOOKUP(AJ28,Feiertage!$A:$A,1,FALSE))=TRUE,0,1)</f>
        <v>0</v>
      </c>
      <c r="AN28" s="28">
        <f>IF(ISNA(VLOOKUP(AJ28,Termine!$A:$A,1,FALSE))=TRUE,0,1)</f>
        <v>0</v>
      </c>
      <c r="AO28" s="28" t="str">
        <f>IF(ISNA(VLOOKUP(AJ28,Aufenthalte!$A:$B,2,FALSE))=TRUE,"",VLOOKUP(AJ28,Aufenthalte!$A:$B,2,FALSE))</f>
        <v>Mama</v>
      </c>
      <c r="AP28" s="25">
        <f t="shared" si="5"/>
        <v>26</v>
      </c>
      <c r="AQ28" s="26">
        <f t="shared" si="6"/>
        <v>43216</v>
      </c>
      <c r="AR28" s="24" t="str">
        <f t="shared" si="7"/>
        <v/>
      </c>
      <c r="AS28" s="54" t="str">
        <f>IF(ISNA(VLOOKUP(AJ28,Aufenthalte!$A:$G,7,FALSE))=TRUE,"",VLOOKUP(AJ28,Aufenthalte!$A:$G,7,FALSE))</f>
        <v xml:space="preserve">
</v>
      </c>
      <c r="AT28" s="7" t="str">
        <f t="shared" si="54"/>
        <v/>
      </c>
      <c r="AU28" s="27">
        <f>DATE(Konfiguration!$B$2,5,$B28)</f>
        <v>43246</v>
      </c>
      <c r="AV28" s="28">
        <f t="shared" si="55"/>
        <v>1</v>
      </c>
      <c r="AW28" s="28">
        <f>IF(ISNA(VLOOKUP(AU28,Ferien!$A:$A,1,FALSE))=TRUE,0,1)</f>
        <v>0</v>
      </c>
      <c r="AX28" s="28">
        <f>IF(ISNA(VLOOKUP(AU28,Feiertage!$A:$A,1,FALSE))=TRUE,0,1)</f>
        <v>0</v>
      </c>
      <c r="AY28" s="28">
        <f>IF(ISNA(VLOOKUP(AU28,Termine!$A:$A,1,FALSE))=TRUE,0,1)</f>
        <v>0</v>
      </c>
      <c r="AZ28" s="28" t="str">
        <f>IF(ISNA(VLOOKUP(AU28,Aufenthalte!$A:$B,2,FALSE))=TRUE,"",VLOOKUP(AU28,Aufenthalte!$A:$B,2,FALSE))</f>
        <v>Mama</v>
      </c>
      <c r="BA28" s="25">
        <f t="shared" si="9"/>
        <v>26</v>
      </c>
      <c r="BB28" s="26">
        <f t="shared" si="10"/>
        <v>43246</v>
      </c>
      <c r="BC28" s="24" t="str">
        <f t="shared" si="11"/>
        <v/>
      </c>
      <c r="BD28" s="54" t="str">
        <f>IF(ISNA(VLOOKUP(AU28,Aufenthalte!$A:$G,7,FALSE))=TRUE,"",VLOOKUP(AU28,Aufenthalte!$A:$G,7,FALSE))</f>
        <v xml:space="preserve">
</v>
      </c>
      <c r="BE28" s="7" t="str">
        <f t="shared" si="56"/>
        <v/>
      </c>
      <c r="BF28" s="27">
        <f>DATE(Konfiguration!$B$2,6,$B28)</f>
        <v>43277</v>
      </c>
      <c r="BG28" s="28">
        <f t="shared" si="57"/>
        <v>0</v>
      </c>
      <c r="BH28" s="28">
        <f>IF(ISNA(VLOOKUP(BF28,Ferien!$A:$A,1,FALSE))=TRUE,0,1)</f>
        <v>1</v>
      </c>
      <c r="BI28" s="28">
        <f>IF(ISNA(VLOOKUP(BF28,Feiertage!$A:$A,1,FALSE))=TRUE,0,1)</f>
        <v>0</v>
      </c>
      <c r="BJ28" s="28">
        <f>IF(ISNA(VLOOKUP(BF28,Termine!$A:$A,1,FALSE))=TRUE,0,1)</f>
        <v>0</v>
      </c>
      <c r="BK28" s="28" t="str">
        <f>IF(ISNA(VLOOKUP(BF28,Aufenthalte!$A:$B,2,FALSE))=TRUE,"",VLOOKUP(BF28,Aufenthalte!$A:$B,2,FALSE))</f>
        <v>Mama</v>
      </c>
      <c r="BL28" s="25">
        <f t="shared" si="13"/>
        <v>26</v>
      </c>
      <c r="BM28" s="26">
        <f t="shared" si="14"/>
        <v>43277</v>
      </c>
      <c r="BN28" s="24" t="str">
        <f t="shared" si="15"/>
        <v/>
      </c>
      <c r="BO28" s="54" t="str">
        <f>IF(ISNA(VLOOKUP(BF28,Aufenthalte!$A:$G,7,FALSE))=TRUE,"",VLOOKUP(BF28,Aufenthalte!$A:$G,7,FALSE))</f>
        <v xml:space="preserve">
</v>
      </c>
      <c r="BP28" s="7" t="str">
        <f t="shared" si="58"/>
        <v/>
      </c>
      <c r="BQ28" s="27">
        <f>DATE(Konfiguration!$B$2,7,$B28)</f>
        <v>43307</v>
      </c>
      <c r="BR28" s="28">
        <f t="shared" si="59"/>
        <v>0</v>
      </c>
      <c r="BS28" s="28">
        <f>IF(ISNA(VLOOKUP(BQ28,Ferien!$A:$A,1,FALSE))=TRUE,0,1)</f>
        <v>1</v>
      </c>
      <c r="BT28" s="28">
        <f>IF(ISNA(VLOOKUP(BQ28,Feiertage!$A:$A,1,FALSE))=TRUE,0,1)</f>
        <v>0</v>
      </c>
      <c r="BU28" s="28">
        <f>IF(ISNA(VLOOKUP(BQ28,Termine!$A:$A,1,FALSE))=TRUE,0,1)</f>
        <v>0</v>
      </c>
      <c r="BV28" s="28" t="str">
        <f>IF(ISNA(VLOOKUP(BQ28,Aufenthalte!$A:$B,2,FALSE))=TRUE,"",VLOOKUP(BQ28,Aufenthalte!$A:$B,2,FALSE))</f>
        <v>Mama</v>
      </c>
      <c r="BW28" s="25">
        <f t="shared" si="17"/>
        <v>26</v>
      </c>
      <c r="BX28" s="26">
        <f t="shared" si="18"/>
        <v>43307</v>
      </c>
      <c r="BY28" s="24" t="str">
        <f t="shared" si="19"/>
        <v/>
      </c>
      <c r="BZ28" s="54" t="str">
        <f>IF(ISNA(VLOOKUP(BQ28,Aufenthalte!$A:$G,7,FALSE))=TRUE,"",VLOOKUP(BQ28,Aufenthalte!$A:$G,7,FALSE))</f>
        <v xml:space="preserve">
</v>
      </c>
      <c r="CA28" s="7" t="str">
        <f t="shared" si="60"/>
        <v/>
      </c>
      <c r="CB28" s="27">
        <f>DATE(Konfiguration!$B$2,8,$B28)</f>
        <v>43338</v>
      </c>
      <c r="CC28" s="28">
        <f t="shared" si="61"/>
        <v>1</v>
      </c>
      <c r="CD28" s="28">
        <f>IF(ISNA(VLOOKUP(CB28,Ferien!$A:$A,1,FALSE))=TRUE,0,1)</f>
        <v>0</v>
      </c>
      <c r="CE28" s="28">
        <f>IF(ISNA(VLOOKUP(CB28,Feiertage!$A:$A,1,FALSE))=TRUE,0,1)</f>
        <v>0</v>
      </c>
      <c r="CF28" s="28">
        <f>IF(ISNA(VLOOKUP(CB28,Termine!$A:$A,1,FALSE))=TRUE,0,1)</f>
        <v>0</v>
      </c>
      <c r="CG28" s="28" t="str">
        <f>IF(ISNA(VLOOKUP(CB28,Aufenthalte!$A:$B,2,FALSE))=TRUE,"",VLOOKUP(CB28,Aufenthalte!$A:$B,2,FALSE))</f>
        <v>Mama</v>
      </c>
      <c r="CH28" s="25">
        <f t="shared" si="21"/>
        <v>26</v>
      </c>
      <c r="CI28" s="26">
        <f t="shared" si="22"/>
        <v>43338</v>
      </c>
      <c r="CJ28" s="24" t="str">
        <f t="shared" si="23"/>
        <v/>
      </c>
      <c r="CK28" s="54" t="str">
        <f>IF(ISNA(VLOOKUP(CB28,Aufenthalte!$A:$G,7,FALSE))=TRUE,"",VLOOKUP(CB28,Aufenthalte!$A:$G,7,FALSE))</f>
        <v xml:space="preserve">
</v>
      </c>
      <c r="CL28" s="7" t="str">
        <f t="shared" si="62"/>
        <v/>
      </c>
      <c r="CM28" s="27">
        <f>DATE(Konfiguration!$B$2,9,$B28)</f>
        <v>43369</v>
      </c>
      <c r="CN28" s="28">
        <f t="shared" si="63"/>
        <v>0</v>
      </c>
      <c r="CO28" s="28">
        <f>IF(ISNA(VLOOKUP(CM28,Ferien!$A:$A,1,FALSE))=TRUE,0,1)</f>
        <v>0</v>
      </c>
      <c r="CP28" s="28">
        <f>IF(ISNA(VLOOKUP(CM28,Feiertage!$A:$A,1,FALSE))=TRUE,0,1)</f>
        <v>0</v>
      </c>
      <c r="CQ28" s="28">
        <f>IF(ISNA(VLOOKUP(CM28,Termine!$A:$A,1,FALSE))=TRUE,0,1)</f>
        <v>0</v>
      </c>
      <c r="CR28" s="28" t="str">
        <f>IF(ISNA(VLOOKUP(CM28,Aufenthalte!$A:$B,2,FALSE))=TRUE,"",VLOOKUP(CM28,Aufenthalte!$A:$B,2,FALSE))</f>
        <v>Mama</v>
      </c>
      <c r="CS28" s="25">
        <f t="shared" si="25"/>
        <v>26</v>
      </c>
      <c r="CT28" s="26">
        <f t="shared" si="26"/>
        <v>43369</v>
      </c>
      <c r="CU28" s="24" t="str">
        <f t="shared" si="27"/>
        <v/>
      </c>
      <c r="CV28" s="54" t="str">
        <f>IF(ISNA(VLOOKUP(CM28,Aufenthalte!$A:$G,7,FALSE))=TRUE,"",VLOOKUP(CM28,Aufenthalte!$A:$G,7,FALSE))</f>
        <v xml:space="preserve">
</v>
      </c>
      <c r="CW28" s="7" t="str">
        <f t="shared" si="64"/>
        <v/>
      </c>
      <c r="CX28" s="27">
        <f>DATE(Konfiguration!$B$2,10,$B28)</f>
        <v>43399</v>
      </c>
      <c r="CY28" s="28">
        <f t="shared" si="65"/>
        <v>0</v>
      </c>
      <c r="CZ28" s="28">
        <f>IF(ISNA(VLOOKUP(CX28,Ferien!$A:$A,1,FALSE))=TRUE,0,1)</f>
        <v>0</v>
      </c>
      <c r="DA28" s="28">
        <f>IF(ISNA(VLOOKUP(CX28,Feiertage!$A:$A,1,FALSE))=TRUE,0,1)</f>
        <v>0</v>
      </c>
      <c r="DB28" s="28">
        <f>IF(ISNA(VLOOKUP(CX28,Termine!$A:$A,1,FALSE))=TRUE,0,1)</f>
        <v>0</v>
      </c>
      <c r="DC28" s="28" t="str">
        <f>IF(ISNA(VLOOKUP(CX28,Aufenthalte!$A:$B,2,FALSE))=TRUE,"",VLOOKUP(CX28,Aufenthalte!$A:$B,2,FALSE))</f>
        <v>Mama</v>
      </c>
      <c r="DD28" s="25">
        <f t="shared" si="29"/>
        <v>26</v>
      </c>
      <c r="DE28" s="26">
        <f t="shared" si="30"/>
        <v>43399</v>
      </c>
      <c r="DF28" s="24" t="str">
        <f t="shared" si="31"/>
        <v/>
      </c>
      <c r="DG28" s="54" t="str">
        <f>IF(ISNA(VLOOKUP(CX28,Aufenthalte!$A:$G,7,FALSE))=TRUE,"",VLOOKUP(CX28,Aufenthalte!$A:$G,7,FALSE))</f>
        <v xml:space="preserve">
</v>
      </c>
      <c r="DH28" s="7" t="str">
        <f t="shared" si="66"/>
        <v/>
      </c>
      <c r="DI28" s="27">
        <f>DATE(Konfiguration!$B$2,11,$B28)</f>
        <v>43430</v>
      </c>
      <c r="DJ28" s="28">
        <f t="shared" si="67"/>
        <v>0</v>
      </c>
      <c r="DK28" s="28">
        <f>IF(ISNA(VLOOKUP(DI28,Ferien!$A:$A,1,FALSE))=TRUE,0,1)</f>
        <v>0</v>
      </c>
      <c r="DL28" s="28">
        <f>IF(ISNA(VLOOKUP(DI28,Feiertage!$A:$A,1,FALSE))=TRUE,0,1)</f>
        <v>0</v>
      </c>
      <c r="DM28" s="28">
        <f>IF(ISNA(VLOOKUP(DI28,Termine!$A:$A,1,FALSE))=TRUE,0,1)</f>
        <v>0</v>
      </c>
      <c r="DN28" s="28" t="str">
        <f>IF(ISNA(VLOOKUP(DI28,Aufenthalte!$A:$B,2,FALSE))=TRUE,"",VLOOKUP(DI28,Aufenthalte!$A:$B,2,FALSE))</f>
        <v>Mama</v>
      </c>
      <c r="DO28" s="25">
        <f t="shared" si="33"/>
        <v>26</v>
      </c>
      <c r="DP28" s="26">
        <f t="shared" si="34"/>
        <v>43430</v>
      </c>
      <c r="DQ28" s="24" t="str">
        <f t="shared" si="35"/>
        <v/>
      </c>
      <c r="DR28" s="54" t="str">
        <f>IF(ISNA(VLOOKUP(DI28,Aufenthalte!$A:$G,7,FALSE))=TRUE,"",VLOOKUP(DI28,Aufenthalte!$A:$G,7,FALSE))</f>
        <v xml:space="preserve">
</v>
      </c>
      <c r="DS28" s="7">
        <f t="shared" si="68"/>
        <v>48</v>
      </c>
      <c r="DT28" s="27">
        <f>DATE(Konfiguration!$B$2,12,$B28)</f>
        <v>43460</v>
      </c>
      <c r="DU28" s="28">
        <f t="shared" si="69"/>
        <v>0</v>
      </c>
      <c r="DV28" s="28">
        <f>IF(ISNA(VLOOKUP(DT28,Ferien!$A:$A,1,FALSE))=TRUE,0,1)</f>
        <v>1</v>
      </c>
      <c r="DW28" s="28">
        <f>IF(ISNA(VLOOKUP(DT28,Feiertage!$A:$A,1,FALSE))=TRUE,0,1)</f>
        <v>1</v>
      </c>
      <c r="DX28" s="28">
        <f>IF(ISNA(VLOOKUP(DT28,Termine!$A:$A,1,FALSE))=TRUE,0,1)</f>
        <v>0</v>
      </c>
      <c r="DY28" s="28" t="str">
        <f>IF(ISNA(VLOOKUP(DT28,Aufenthalte!$A:$B,2,FALSE))=TRUE,"",VLOOKUP(DT28,Aufenthalte!$A:$B,2,FALSE))</f>
        <v>Mama</v>
      </c>
      <c r="DZ28" s="25">
        <f t="shared" si="37"/>
        <v>26</v>
      </c>
      <c r="EA28" s="26">
        <f t="shared" si="38"/>
        <v>43460</v>
      </c>
      <c r="EB28" s="24" t="str">
        <f t="shared" si="39"/>
        <v/>
      </c>
      <c r="EC28" s="54" t="str">
        <f>IF(ISNA(VLOOKUP(DT28,Aufenthalte!$A:$G,7,FALSE))=TRUE,"",VLOOKUP(DT28,Aufenthalte!$A:$G,7,FALSE))</f>
        <v xml:space="preserve">
</v>
      </c>
      <c r="ED28" s="7" t="str">
        <f t="shared" si="70"/>
        <v/>
      </c>
      <c r="EE28" s="13"/>
      <c r="EF28" s="49"/>
      <c r="EG28" s="49"/>
      <c r="EH28" s="49"/>
      <c r="EI28" s="49"/>
      <c r="EJ28" s="49"/>
      <c r="EK28" s="49"/>
      <c r="EL28" s="49"/>
      <c r="EM28" s="14"/>
      <c r="EN28" s="122"/>
      <c r="EO28" s="123"/>
    </row>
    <row r="29" spans="2:145" s="1" customFormat="1" ht="21" customHeight="1">
      <c r="B29" s="8">
        <v>27</v>
      </c>
      <c r="C29" s="27">
        <f>DATE(Konfiguration!$B$2,1,$B29)</f>
        <v>43127</v>
      </c>
      <c r="D29" s="28">
        <f t="shared" si="45"/>
        <v>1</v>
      </c>
      <c r="E29" s="28">
        <f>IF(ISNA(VLOOKUP(C29,Ferien!$A:$A,1,FALSE))=TRUE,0,1)</f>
        <v>0</v>
      </c>
      <c r="F29" s="28">
        <f>IF(ISNA(VLOOKUP(C29,Feiertage!$A:$A,1,FALSE))=TRUE,0,1)</f>
        <v>0</v>
      </c>
      <c r="G29" s="28">
        <f>IF(ISNA(VLOOKUP(C29,Termine!$A:$A,1,FALSE))=TRUE,0,1)</f>
        <v>0</v>
      </c>
      <c r="H29" s="28" t="str">
        <f>IF(ISNA(VLOOKUP(C29,Aufenthalte!$A:$B,2,FALSE))=TRUE,"",VLOOKUP(C29,Aufenthalte!$A:$B,2,FALSE))</f>
        <v>Papa</v>
      </c>
      <c r="I29" s="25">
        <f t="shared" si="46"/>
        <v>27</v>
      </c>
      <c r="J29" s="26">
        <f t="shared" si="0"/>
        <v>43127</v>
      </c>
      <c r="K29" s="24" t="str">
        <f t="shared" si="47"/>
        <v/>
      </c>
      <c r="L29" s="54" t="str">
        <f>IF(ISNA(VLOOKUP(C29,Aufenthalte!$A:$G,7,FALSE))=TRUE,"",VLOOKUP(C29,Aufenthalte!$A:$G,7,FALSE))</f>
        <v xml:space="preserve">
</v>
      </c>
      <c r="M29" s="7" t="str">
        <f t="shared" si="77"/>
        <v/>
      </c>
      <c r="N29" s="27">
        <f>DATE(Konfiguration!$B$2,2,$B29)</f>
        <v>43158</v>
      </c>
      <c r="O29" s="28">
        <f t="shared" si="48"/>
        <v>0</v>
      </c>
      <c r="P29" s="28">
        <f>IF(ISNA(VLOOKUP(N29,Ferien!$A:$A,1,FALSE))=TRUE,0,1)</f>
        <v>0</v>
      </c>
      <c r="Q29" s="28">
        <f>IF(ISNA(VLOOKUP(N29,Feiertage!$A:$A,1,FALSE))=TRUE,0,1)</f>
        <v>0</v>
      </c>
      <c r="R29" s="28">
        <f>IF(ISNA(VLOOKUP(N29,Termine!$A:$A,1,FALSE))=TRUE,0,1)</f>
        <v>0</v>
      </c>
      <c r="S29" s="28" t="str">
        <f>IF(ISNA(VLOOKUP(N29,Aufenthalte!$A:$B,2,FALSE))=TRUE,"",VLOOKUP(N29,Aufenthalte!$A:$B,2,FALSE))</f>
        <v>Mama</v>
      </c>
      <c r="T29" s="25">
        <f t="shared" si="49"/>
        <v>27</v>
      </c>
      <c r="U29" s="26">
        <f t="shared" si="50"/>
        <v>43158</v>
      </c>
      <c r="V29" s="24" t="str">
        <f t="shared" si="2"/>
        <v/>
      </c>
      <c r="W29" s="54" t="str">
        <f>IF(ISNA(VLOOKUP(N29,Aufenthalte!$A:$G,7,FALSE))=TRUE,"",VLOOKUP(N29,Aufenthalte!$A:$G,7,FALSE))</f>
        <v xml:space="preserve">
</v>
      </c>
      <c r="X29" s="7" t="str">
        <f t="shared" si="51"/>
        <v/>
      </c>
      <c r="Y29" s="27">
        <f>DATE(Konfiguration!$B$2,3,$B29)</f>
        <v>43186</v>
      </c>
      <c r="Z29" s="28">
        <f t="shared" si="73"/>
        <v>0</v>
      </c>
      <c r="AA29" s="28">
        <f>IF(ISNA(VLOOKUP(Y29,Ferien!$A:$A,1,FALSE))=TRUE,0,1)</f>
        <v>1</v>
      </c>
      <c r="AB29" s="28">
        <f>IF(ISNA(VLOOKUP(Y29,Feiertage!$A:$A,1,FALSE))=TRUE,0,1)</f>
        <v>0</v>
      </c>
      <c r="AC29" s="28">
        <f>IF(ISNA(VLOOKUP(Y29,Termine!$A:$A,1,FALSE))=TRUE,0,1)</f>
        <v>0</v>
      </c>
      <c r="AD29" s="28" t="str">
        <f>IF(ISNA(VLOOKUP(Y29,Aufenthalte!$A:$B,2,FALSE))=TRUE,"",VLOOKUP(Y29,Aufenthalte!$A:$B,2,FALSE))</f>
        <v>Mama</v>
      </c>
      <c r="AE29" s="25">
        <f t="shared" si="74"/>
        <v>27</v>
      </c>
      <c r="AF29" s="26">
        <f t="shared" si="75"/>
        <v>43186</v>
      </c>
      <c r="AG29" s="24" t="str">
        <f t="shared" si="76"/>
        <v/>
      </c>
      <c r="AH29" s="54" t="str">
        <f>IF(ISNA(VLOOKUP(Y29,Aufenthalte!$A:$G,7,FALSE))=TRUE,"",VLOOKUP(Y29,Aufenthalte!$A:$G,7,FALSE))</f>
        <v xml:space="preserve">
</v>
      </c>
      <c r="AI29" s="7" t="str">
        <f t="shared" si="52"/>
        <v/>
      </c>
      <c r="AJ29" s="27">
        <f>DATE(Konfiguration!$B$2,4,$B29)</f>
        <v>43217</v>
      </c>
      <c r="AK29" s="28">
        <f t="shared" si="53"/>
        <v>0</v>
      </c>
      <c r="AL29" s="28">
        <f>IF(ISNA(VLOOKUP(AJ29,Ferien!$A:$A,1,FALSE))=TRUE,0,1)</f>
        <v>0</v>
      </c>
      <c r="AM29" s="28">
        <f>IF(ISNA(VLOOKUP(AJ29,Feiertage!$A:$A,1,FALSE))=TRUE,0,1)</f>
        <v>0</v>
      </c>
      <c r="AN29" s="28">
        <f>IF(ISNA(VLOOKUP(AJ29,Termine!$A:$A,1,FALSE))=TRUE,0,1)</f>
        <v>0</v>
      </c>
      <c r="AO29" s="28" t="str">
        <f>IF(ISNA(VLOOKUP(AJ29,Aufenthalte!$A:$B,2,FALSE))=TRUE,"",VLOOKUP(AJ29,Aufenthalte!$A:$B,2,FALSE))</f>
        <v>Mama</v>
      </c>
      <c r="AP29" s="25">
        <f t="shared" si="5"/>
        <v>27</v>
      </c>
      <c r="AQ29" s="26">
        <f t="shared" si="6"/>
        <v>43217</v>
      </c>
      <c r="AR29" s="24" t="str">
        <f t="shared" si="7"/>
        <v/>
      </c>
      <c r="AS29" s="54" t="str">
        <f>IF(ISNA(VLOOKUP(AJ29,Aufenthalte!$A:$G,7,FALSE))=TRUE,"",VLOOKUP(AJ29,Aufenthalte!$A:$G,7,FALSE))</f>
        <v xml:space="preserve">
</v>
      </c>
      <c r="AT29" s="7" t="str">
        <f t="shared" si="54"/>
        <v/>
      </c>
      <c r="AU29" s="27">
        <f>DATE(Konfiguration!$B$2,5,$B29)</f>
        <v>43247</v>
      </c>
      <c r="AV29" s="28">
        <f t="shared" si="55"/>
        <v>1</v>
      </c>
      <c r="AW29" s="28">
        <f>IF(ISNA(VLOOKUP(AU29,Ferien!$A:$A,1,FALSE))=TRUE,0,1)</f>
        <v>0</v>
      </c>
      <c r="AX29" s="28">
        <f>IF(ISNA(VLOOKUP(AU29,Feiertage!$A:$A,1,FALSE))=TRUE,0,1)</f>
        <v>0</v>
      </c>
      <c r="AY29" s="28">
        <f>IF(ISNA(VLOOKUP(AU29,Termine!$A:$A,1,FALSE))=TRUE,0,1)</f>
        <v>0</v>
      </c>
      <c r="AZ29" s="28" t="str">
        <f>IF(ISNA(VLOOKUP(AU29,Aufenthalte!$A:$B,2,FALSE))=TRUE,"",VLOOKUP(AU29,Aufenthalte!$A:$B,2,FALSE))</f>
        <v>Mama</v>
      </c>
      <c r="BA29" s="25">
        <f t="shared" si="9"/>
        <v>27</v>
      </c>
      <c r="BB29" s="26">
        <f t="shared" si="10"/>
        <v>43247</v>
      </c>
      <c r="BC29" s="24" t="str">
        <f t="shared" si="11"/>
        <v/>
      </c>
      <c r="BD29" s="54" t="str">
        <f>IF(ISNA(VLOOKUP(AU29,Aufenthalte!$A:$G,7,FALSE))=TRUE,"",VLOOKUP(AU29,Aufenthalte!$A:$G,7,FALSE))</f>
        <v xml:space="preserve">
</v>
      </c>
      <c r="BE29" s="7" t="str">
        <f t="shared" si="56"/>
        <v/>
      </c>
      <c r="BF29" s="27">
        <f>DATE(Konfiguration!$B$2,6,$B29)</f>
        <v>43278</v>
      </c>
      <c r="BG29" s="28">
        <f t="shared" si="57"/>
        <v>0</v>
      </c>
      <c r="BH29" s="28">
        <f>IF(ISNA(VLOOKUP(BF29,Ferien!$A:$A,1,FALSE))=TRUE,0,1)</f>
        <v>1</v>
      </c>
      <c r="BI29" s="28">
        <f>IF(ISNA(VLOOKUP(BF29,Feiertage!$A:$A,1,FALSE))=TRUE,0,1)</f>
        <v>0</v>
      </c>
      <c r="BJ29" s="28">
        <f>IF(ISNA(VLOOKUP(BF29,Termine!$A:$A,1,FALSE))=TRUE,0,1)</f>
        <v>0</v>
      </c>
      <c r="BK29" s="28" t="str">
        <f>IF(ISNA(VLOOKUP(BF29,Aufenthalte!$A:$B,2,FALSE))=TRUE,"",VLOOKUP(BF29,Aufenthalte!$A:$B,2,FALSE))</f>
        <v>Mama</v>
      </c>
      <c r="BL29" s="25">
        <f t="shared" si="13"/>
        <v>27</v>
      </c>
      <c r="BM29" s="26">
        <f t="shared" si="14"/>
        <v>43278</v>
      </c>
      <c r="BN29" s="24" t="str">
        <f t="shared" si="15"/>
        <v/>
      </c>
      <c r="BO29" s="54" t="str">
        <f>IF(ISNA(VLOOKUP(BF29,Aufenthalte!$A:$G,7,FALSE))=TRUE,"",VLOOKUP(BF29,Aufenthalte!$A:$G,7,FALSE))</f>
        <v xml:space="preserve">
</v>
      </c>
      <c r="BP29" s="7" t="str">
        <f t="shared" si="58"/>
        <v/>
      </c>
      <c r="BQ29" s="27">
        <f>DATE(Konfiguration!$B$2,7,$B29)</f>
        <v>43308</v>
      </c>
      <c r="BR29" s="28">
        <f t="shared" si="59"/>
        <v>0</v>
      </c>
      <c r="BS29" s="28">
        <f>IF(ISNA(VLOOKUP(BQ29,Ferien!$A:$A,1,FALSE))=TRUE,0,1)</f>
        <v>1</v>
      </c>
      <c r="BT29" s="28">
        <f>IF(ISNA(VLOOKUP(BQ29,Feiertage!$A:$A,1,FALSE))=TRUE,0,1)</f>
        <v>0</v>
      </c>
      <c r="BU29" s="28">
        <f>IF(ISNA(VLOOKUP(BQ29,Termine!$A:$A,1,FALSE))=TRUE,0,1)</f>
        <v>0</v>
      </c>
      <c r="BV29" s="28" t="str">
        <f>IF(ISNA(VLOOKUP(BQ29,Aufenthalte!$A:$B,2,FALSE))=TRUE,"",VLOOKUP(BQ29,Aufenthalte!$A:$B,2,FALSE))</f>
        <v>Mama</v>
      </c>
      <c r="BW29" s="25">
        <f t="shared" si="17"/>
        <v>27</v>
      </c>
      <c r="BX29" s="26">
        <f t="shared" si="18"/>
        <v>43308</v>
      </c>
      <c r="BY29" s="24" t="str">
        <f t="shared" si="19"/>
        <v/>
      </c>
      <c r="BZ29" s="54" t="str">
        <f>IF(ISNA(VLOOKUP(BQ29,Aufenthalte!$A:$G,7,FALSE))=TRUE,"",VLOOKUP(BQ29,Aufenthalte!$A:$G,7,FALSE))</f>
        <v xml:space="preserve">
</v>
      </c>
      <c r="CA29" s="7" t="str">
        <f t="shared" si="60"/>
        <v/>
      </c>
      <c r="CB29" s="27">
        <f>DATE(Konfiguration!$B$2,8,$B29)</f>
        <v>43339</v>
      </c>
      <c r="CC29" s="28">
        <f t="shared" si="61"/>
        <v>0</v>
      </c>
      <c r="CD29" s="28">
        <f>IF(ISNA(VLOOKUP(CB29,Ferien!$A:$A,1,FALSE))=TRUE,0,1)</f>
        <v>0</v>
      </c>
      <c r="CE29" s="28">
        <f>IF(ISNA(VLOOKUP(CB29,Feiertage!$A:$A,1,FALSE))=TRUE,0,1)</f>
        <v>0</v>
      </c>
      <c r="CF29" s="28">
        <f>IF(ISNA(VLOOKUP(CB29,Termine!$A:$A,1,FALSE))=TRUE,0,1)</f>
        <v>0</v>
      </c>
      <c r="CG29" s="28" t="str">
        <f>IF(ISNA(VLOOKUP(CB29,Aufenthalte!$A:$B,2,FALSE))=TRUE,"",VLOOKUP(CB29,Aufenthalte!$A:$B,2,FALSE))</f>
        <v>Mama</v>
      </c>
      <c r="CH29" s="25">
        <f t="shared" si="21"/>
        <v>27</v>
      </c>
      <c r="CI29" s="26">
        <f t="shared" si="22"/>
        <v>43339</v>
      </c>
      <c r="CJ29" s="24" t="str">
        <f t="shared" si="23"/>
        <v/>
      </c>
      <c r="CK29" s="54" t="str">
        <f>IF(ISNA(VLOOKUP(CB29,Aufenthalte!$A:$G,7,FALSE))=TRUE,"",VLOOKUP(CB29,Aufenthalte!$A:$G,7,FALSE))</f>
        <v xml:space="preserve">
</v>
      </c>
      <c r="CL29" s="7">
        <f t="shared" si="62"/>
        <v>35</v>
      </c>
      <c r="CM29" s="27">
        <f>DATE(Konfiguration!$B$2,9,$B29)</f>
        <v>43370</v>
      </c>
      <c r="CN29" s="28">
        <f t="shared" si="63"/>
        <v>0</v>
      </c>
      <c r="CO29" s="28">
        <f>IF(ISNA(VLOOKUP(CM29,Ferien!$A:$A,1,FALSE))=TRUE,0,1)</f>
        <v>0</v>
      </c>
      <c r="CP29" s="28">
        <f>IF(ISNA(VLOOKUP(CM29,Feiertage!$A:$A,1,FALSE))=TRUE,0,1)</f>
        <v>0</v>
      </c>
      <c r="CQ29" s="28">
        <f>IF(ISNA(VLOOKUP(CM29,Termine!$A:$A,1,FALSE))=TRUE,0,1)</f>
        <v>0</v>
      </c>
      <c r="CR29" s="28" t="str">
        <f>IF(ISNA(VLOOKUP(CM29,Aufenthalte!$A:$B,2,FALSE))=TRUE,"",VLOOKUP(CM29,Aufenthalte!$A:$B,2,FALSE))</f>
        <v>Mama</v>
      </c>
      <c r="CS29" s="25">
        <f t="shared" si="25"/>
        <v>27</v>
      </c>
      <c r="CT29" s="26">
        <f t="shared" si="26"/>
        <v>43370</v>
      </c>
      <c r="CU29" s="24" t="str">
        <f t="shared" si="27"/>
        <v/>
      </c>
      <c r="CV29" s="54" t="str">
        <f>IF(ISNA(VLOOKUP(CM29,Aufenthalte!$A:$G,7,FALSE))=TRUE,"",VLOOKUP(CM29,Aufenthalte!$A:$G,7,FALSE))</f>
        <v xml:space="preserve">
</v>
      </c>
      <c r="CW29" s="7" t="str">
        <f t="shared" si="64"/>
        <v/>
      </c>
      <c r="CX29" s="27">
        <f>DATE(Konfiguration!$B$2,10,$B29)</f>
        <v>43400</v>
      </c>
      <c r="CY29" s="28">
        <f t="shared" si="65"/>
        <v>1</v>
      </c>
      <c r="CZ29" s="28">
        <f>IF(ISNA(VLOOKUP(CX29,Ferien!$A:$A,1,FALSE))=TRUE,0,1)</f>
        <v>0</v>
      </c>
      <c r="DA29" s="28">
        <f>IF(ISNA(VLOOKUP(CX29,Feiertage!$A:$A,1,FALSE))=TRUE,0,1)</f>
        <v>0</v>
      </c>
      <c r="DB29" s="28">
        <f>IF(ISNA(VLOOKUP(CX29,Termine!$A:$A,1,FALSE))=TRUE,0,1)</f>
        <v>0</v>
      </c>
      <c r="DC29" s="28" t="str">
        <f>IF(ISNA(VLOOKUP(CX29,Aufenthalte!$A:$B,2,FALSE))=TRUE,"",VLOOKUP(CX29,Aufenthalte!$A:$B,2,FALSE))</f>
        <v>Mama</v>
      </c>
      <c r="DD29" s="25">
        <f t="shared" si="29"/>
        <v>27</v>
      </c>
      <c r="DE29" s="26">
        <f t="shared" si="30"/>
        <v>43400</v>
      </c>
      <c r="DF29" s="24" t="str">
        <f t="shared" si="31"/>
        <v/>
      </c>
      <c r="DG29" s="54" t="str">
        <f>IF(ISNA(VLOOKUP(CX29,Aufenthalte!$A:$G,7,FALSE))=TRUE,"",VLOOKUP(CX29,Aufenthalte!$A:$G,7,FALSE))</f>
        <v xml:space="preserve">
</v>
      </c>
      <c r="DH29" s="7" t="str">
        <f t="shared" si="66"/>
        <v/>
      </c>
      <c r="DI29" s="27">
        <f>DATE(Konfiguration!$B$2,11,$B29)</f>
        <v>43431</v>
      </c>
      <c r="DJ29" s="28">
        <f t="shared" si="67"/>
        <v>0</v>
      </c>
      <c r="DK29" s="28">
        <f>IF(ISNA(VLOOKUP(DI29,Ferien!$A:$A,1,FALSE))=TRUE,0,1)</f>
        <v>0</v>
      </c>
      <c r="DL29" s="28">
        <f>IF(ISNA(VLOOKUP(DI29,Feiertage!$A:$A,1,FALSE))=TRUE,0,1)</f>
        <v>0</v>
      </c>
      <c r="DM29" s="28">
        <f>IF(ISNA(VLOOKUP(DI29,Termine!$A:$A,1,FALSE))=TRUE,0,1)</f>
        <v>0</v>
      </c>
      <c r="DN29" s="28" t="str">
        <f>IF(ISNA(VLOOKUP(DI29,Aufenthalte!$A:$B,2,FALSE))=TRUE,"",VLOOKUP(DI29,Aufenthalte!$A:$B,2,FALSE))</f>
        <v>Mama</v>
      </c>
      <c r="DO29" s="25">
        <f t="shared" si="33"/>
        <v>27</v>
      </c>
      <c r="DP29" s="26">
        <f t="shared" si="34"/>
        <v>43431</v>
      </c>
      <c r="DQ29" s="24" t="str">
        <f t="shared" si="35"/>
        <v/>
      </c>
      <c r="DR29" s="54" t="str">
        <f>IF(ISNA(VLOOKUP(DI29,Aufenthalte!$A:$G,7,FALSE))=TRUE,"",VLOOKUP(DI29,Aufenthalte!$A:$G,7,FALSE))</f>
        <v xml:space="preserve">
</v>
      </c>
      <c r="DS29" s="7" t="str">
        <f t="shared" si="68"/>
        <v/>
      </c>
      <c r="DT29" s="27">
        <f>DATE(Konfiguration!$B$2,12,$B29)</f>
        <v>43461</v>
      </c>
      <c r="DU29" s="28">
        <f t="shared" si="69"/>
        <v>0</v>
      </c>
      <c r="DV29" s="28">
        <f>IF(ISNA(VLOOKUP(DT29,Ferien!$A:$A,1,FALSE))=TRUE,0,1)</f>
        <v>1</v>
      </c>
      <c r="DW29" s="28">
        <f>IF(ISNA(VLOOKUP(DT29,Feiertage!$A:$A,1,FALSE))=TRUE,0,1)</f>
        <v>0</v>
      </c>
      <c r="DX29" s="28">
        <f>IF(ISNA(VLOOKUP(DT29,Termine!$A:$A,1,FALSE))=TRUE,0,1)</f>
        <v>0</v>
      </c>
      <c r="DY29" s="28" t="str">
        <f>IF(ISNA(VLOOKUP(DT29,Aufenthalte!$A:$B,2,FALSE))=TRUE,"",VLOOKUP(DT29,Aufenthalte!$A:$B,2,FALSE))</f>
        <v>Mama</v>
      </c>
      <c r="DZ29" s="25">
        <f t="shared" si="37"/>
        <v>27</v>
      </c>
      <c r="EA29" s="26">
        <f t="shared" si="38"/>
        <v>43461</v>
      </c>
      <c r="EB29" s="24" t="str">
        <f t="shared" si="39"/>
        <v/>
      </c>
      <c r="EC29" s="54" t="str">
        <f>IF(ISNA(VLOOKUP(DT29,Aufenthalte!$A:$G,7,FALSE))=TRUE,"",VLOOKUP(DT29,Aufenthalte!$A:$G,7,FALSE))</f>
        <v xml:space="preserve">
</v>
      </c>
      <c r="ED29" s="7" t="str">
        <f t="shared" si="70"/>
        <v/>
      </c>
      <c r="EE29" s="13"/>
      <c r="EF29" s="49"/>
      <c r="EG29" s="49"/>
      <c r="EH29" s="49"/>
      <c r="EI29" s="49"/>
      <c r="EJ29" s="49"/>
      <c r="EK29" s="49"/>
      <c r="EL29" s="49"/>
      <c r="EM29" s="14"/>
      <c r="EN29" s="122"/>
      <c r="EO29" s="123"/>
    </row>
    <row r="30" spans="2:145" s="1" customFormat="1" ht="21" customHeight="1">
      <c r="B30" s="8">
        <v>28</v>
      </c>
      <c r="C30" s="27">
        <f>DATE(Konfiguration!$B$2,1,$B30)</f>
        <v>43128</v>
      </c>
      <c r="D30" s="28">
        <f t="shared" si="45"/>
        <v>1</v>
      </c>
      <c r="E30" s="28">
        <f>IF(ISNA(VLOOKUP(C30,Ferien!$A:$A,1,FALSE))=TRUE,0,1)</f>
        <v>0</v>
      </c>
      <c r="F30" s="28">
        <f>IF(ISNA(VLOOKUP(C30,Feiertage!$A:$A,1,FALSE))=TRUE,0,1)</f>
        <v>0</v>
      </c>
      <c r="G30" s="28">
        <f>IF(ISNA(VLOOKUP(C30,Termine!$A:$A,1,FALSE))=TRUE,0,1)</f>
        <v>0</v>
      </c>
      <c r="H30" s="28" t="str">
        <f>IF(ISNA(VLOOKUP(C30,Aufenthalte!$A:$B,2,FALSE))=TRUE,"",VLOOKUP(C30,Aufenthalte!$A:$B,2,FALSE))</f>
        <v>Papa</v>
      </c>
      <c r="I30" s="25">
        <f t="shared" si="46"/>
        <v>28</v>
      </c>
      <c r="J30" s="26">
        <f t="shared" si="0"/>
        <v>43128</v>
      </c>
      <c r="K30" s="24" t="str">
        <f t="shared" si="47"/>
        <v/>
      </c>
      <c r="L30" s="54" t="str">
        <f>IF(ISNA(VLOOKUP(C30,Aufenthalte!$A:$G,7,FALSE))=TRUE,"",VLOOKUP(C30,Aufenthalte!$A:$G,7,FALSE))</f>
        <v xml:space="preserve">
17:30</v>
      </c>
      <c r="M30" s="7" t="str">
        <f t="shared" si="77"/>
        <v/>
      </c>
      <c r="N30" s="27">
        <f>DATE(Konfiguration!$B$2,2,$B30)</f>
        <v>43159</v>
      </c>
      <c r="O30" s="28">
        <f t="shared" si="48"/>
        <v>0</v>
      </c>
      <c r="P30" s="28">
        <f>IF(ISNA(VLOOKUP(N30,Ferien!$A:$A,1,FALSE))=TRUE,0,1)</f>
        <v>0</v>
      </c>
      <c r="Q30" s="28">
        <f>IF(ISNA(VLOOKUP(N30,Feiertage!$A:$A,1,FALSE))=TRUE,0,1)</f>
        <v>0</v>
      </c>
      <c r="R30" s="28">
        <f>IF(ISNA(VLOOKUP(N30,Termine!$A:$A,1,FALSE))=TRUE,0,1)</f>
        <v>0</v>
      </c>
      <c r="S30" s="28" t="str">
        <f>IF(ISNA(VLOOKUP(N30,Aufenthalte!$A:$B,2,FALSE))=TRUE,"",VLOOKUP(N30,Aufenthalte!$A:$B,2,FALSE))</f>
        <v>Mama</v>
      </c>
      <c r="T30" s="25">
        <f t="shared" si="49"/>
        <v>28</v>
      </c>
      <c r="U30" s="26">
        <f t="shared" si="50"/>
        <v>43159</v>
      </c>
      <c r="V30" s="24" t="str">
        <f t="shared" si="2"/>
        <v/>
      </c>
      <c r="W30" s="54" t="str">
        <f>IF(ISNA(VLOOKUP(N30,Aufenthalte!$A:$G,7,FALSE))=TRUE,"",VLOOKUP(N30,Aufenthalte!$A:$G,7,FALSE))</f>
        <v xml:space="preserve">
</v>
      </c>
      <c r="X30" s="7" t="str">
        <f t="shared" si="51"/>
        <v/>
      </c>
      <c r="Y30" s="27">
        <f>DATE(Konfiguration!$B$2,3,$B30)</f>
        <v>43187</v>
      </c>
      <c r="Z30" s="28">
        <f t="shared" si="73"/>
        <v>0</v>
      </c>
      <c r="AA30" s="28">
        <f>IF(ISNA(VLOOKUP(Y30,Ferien!$A:$A,1,FALSE))=TRUE,0,1)</f>
        <v>1</v>
      </c>
      <c r="AB30" s="28">
        <f>IF(ISNA(VLOOKUP(Y30,Feiertage!$A:$A,1,FALSE))=TRUE,0,1)</f>
        <v>0</v>
      </c>
      <c r="AC30" s="28">
        <f>IF(ISNA(VLOOKUP(Y30,Termine!$A:$A,1,FALSE))=TRUE,0,1)</f>
        <v>0</v>
      </c>
      <c r="AD30" s="28" t="str">
        <f>IF(ISNA(VLOOKUP(Y30,Aufenthalte!$A:$B,2,FALSE))=TRUE,"",VLOOKUP(Y30,Aufenthalte!$A:$B,2,FALSE))</f>
        <v>Mama</v>
      </c>
      <c r="AE30" s="25">
        <f t="shared" si="74"/>
        <v>28</v>
      </c>
      <c r="AF30" s="26">
        <f t="shared" si="75"/>
        <v>43187</v>
      </c>
      <c r="AG30" s="24" t="str">
        <f t="shared" si="76"/>
        <v/>
      </c>
      <c r="AH30" s="54" t="str">
        <f>IF(ISNA(VLOOKUP(Y30,Aufenthalte!$A:$G,7,FALSE))=TRUE,"",VLOOKUP(Y30,Aufenthalte!$A:$G,7,FALSE))</f>
        <v xml:space="preserve">
</v>
      </c>
      <c r="AI30" s="7" t="str">
        <f t="shared" si="52"/>
        <v/>
      </c>
      <c r="AJ30" s="27">
        <f>DATE(Konfiguration!$B$2,4,$B30)</f>
        <v>43218</v>
      </c>
      <c r="AK30" s="28">
        <f t="shared" si="53"/>
        <v>1</v>
      </c>
      <c r="AL30" s="28">
        <f>IF(ISNA(VLOOKUP(AJ30,Ferien!$A:$A,1,FALSE))=TRUE,0,1)</f>
        <v>0</v>
      </c>
      <c r="AM30" s="28">
        <f>IF(ISNA(VLOOKUP(AJ30,Feiertage!$A:$A,1,FALSE))=TRUE,0,1)</f>
        <v>0</v>
      </c>
      <c r="AN30" s="28">
        <f>IF(ISNA(VLOOKUP(AJ30,Termine!$A:$A,1,FALSE))=TRUE,0,1)</f>
        <v>0</v>
      </c>
      <c r="AO30" s="28" t="str">
        <f>IF(ISNA(VLOOKUP(AJ30,Aufenthalte!$A:$B,2,FALSE))=TRUE,"",VLOOKUP(AJ30,Aufenthalte!$A:$B,2,FALSE))</f>
        <v>Mama</v>
      </c>
      <c r="AP30" s="25">
        <f t="shared" si="5"/>
        <v>28</v>
      </c>
      <c r="AQ30" s="26">
        <f t="shared" si="6"/>
        <v>43218</v>
      </c>
      <c r="AR30" s="24" t="str">
        <f t="shared" si="7"/>
        <v/>
      </c>
      <c r="AS30" s="54" t="str">
        <f>IF(ISNA(VLOOKUP(AJ30,Aufenthalte!$A:$G,7,FALSE))=TRUE,"",VLOOKUP(AJ30,Aufenthalte!$A:$G,7,FALSE))</f>
        <v xml:space="preserve">
</v>
      </c>
      <c r="AT30" s="7" t="str">
        <f t="shared" si="54"/>
        <v/>
      </c>
      <c r="AU30" s="27">
        <f>DATE(Konfiguration!$B$2,5,$B30)</f>
        <v>43248</v>
      </c>
      <c r="AV30" s="28">
        <f t="shared" si="55"/>
        <v>0</v>
      </c>
      <c r="AW30" s="28">
        <f>IF(ISNA(VLOOKUP(AU30,Ferien!$A:$A,1,FALSE))=TRUE,0,1)</f>
        <v>0</v>
      </c>
      <c r="AX30" s="28">
        <f>IF(ISNA(VLOOKUP(AU30,Feiertage!$A:$A,1,FALSE))=TRUE,0,1)</f>
        <v>0</v>
      </c>
      <c r="AY30" s="28">
        <f>IF(ISNA(VLOOKUP(AU30,Termine!$A:$A,1,FALSE))=TRUE,0,1)</f>
        <v>0</v>
      </c>
      <c r="AZ30" s="28" t="str">
        <f>IF(ISNA(VLOOKUP(AU30,Aufenthalte!$A:$B,2,FALSE))=TRUE,"",VLOOKUP(AU30,Aufenthalte!$A:$B,2,FALSE))</f>
        <v>Mama</v>
      </c>
      <c r="BA30" s="25">
        <f t="shared" si="9"/>
        <v>28</v>
      </c>
      <c r="BB30" s="26">
        <f t="shared" si="10"/>
        <v>43248</v>
      </c>
      <c r="BC30" s="24" t="str">
        <f t="shared" si="11"/>
        <v/>
      </c>
      <c r="BD30" s="54" t="str">
        <f>IF(ISNA(VLOOKUP(AU30,Aufenthalte!$A:$G,7,FALSE))=TRUE,"",VLOOKUP(AU30,Aufenthalte!$A:$G,7,FALSE))</f>
        <v xml:space="preserve">
</v>
      </c>
      <c r="BE30" s="7">
        <f t="shared" si="56"/>
        <v>22</v>
      </c>
      <c r="BF30" s="27">
        <f>DATE(Konfiguration!$B$2,6,$B30)</f>
        <v>43279</v>
      </c>
      <c r="BG30" s="28">
        <f t="shared" si="57"/>
        <v>0</v>
      </c>
      <c r="BH30" s="28">
        <f>IF(ISNA(VLOOKUP(BF30,Ferien!$A:$A,1,FALSE))=TRUE,0,1)</f>
        <v>1</v>
      </c>
      <c r="BI30" s="28">
        <f>IF(ISNA(VLOOKUP(BF30,Feiertage!$A:$A,1,FALSE))=TRUE,0,1)</f>
        <v>0</v>
      </c>
      <c r="BJ30" s="28">
        <f>IF(ISNA(VLOOKUP(BF30,Termine!$A:$A,1,FALSE))=TRUE,0,1)</f>
        <v>0</v>
      </c>
      <c r="BK30" s="28" t="str">
        <f>IF(ISNA(VLOOKUP(BF30,Aufenthalte!$A:$B,2,FALSE))=TRUE,"",VLOOKUP(BF30,Aufenthalte!$A:$B,2,FALSE))</f>
        <v>Mama</v>
      </c>
      <c r="BL30" s="25">
        <f t="shared" si="13"/>
        <v>28</v>
      </c>
      <c r="BM30" s="26">
        <f t="shared" si="14"/>
        <v>43279</v>
      </c>
      <c r="BN30" s="24" t="str">
        <f t="shared" si="15"/>
        <v/>
      </c>
      <c r="BO30" s="54" t="str">
        <f>IF(ISNA(VLOOKUP(BF30,Aufenthalte!$A:$G,7,FALSE))=TRUE,"",VLOOKUP(BF30,Aufenthalte!$A:$G,7,FALSE))</f>
        <v xml:space="preserve">
</v>
      </c>
      <c r="BP30" s="7" t="str">
        <f t="shared" si="58"/>
        <v/>
      </c>
      <c r="BQ30" s="27">
        <f>DATE(Konfiguration!$B$2,7,$B30)</f>
        <v>43309</v>
      </c>
      <c r="BR30" s="28">
        <f t="shared" si="59"/>
        <v>1</v>
      </c>
      <c r="BS30" s="28">
        <f>IF(ISNA(VLOOKUP(BQ30,Ferien!$A:$A,1,FALSE))=TRUE,0,1)</f>
        <v>1</v>
      </c>
      <c r="BT30" s="28">
        <f>IF(ISNA(VLOOKUP(BQ30,Feiertage!$A:$A,1,FALSE))=TRUE,0,1)</f>
        <v>0</v>
      </c>
      <c r="BU30" s="28">
        <f>IF(ISNA(VLOOKUP(BQ30,Termine!$A:$A,1,FALSE))=TRUE,0,1)</f>
        <v>0</v>
      </c>
      <c r="BV30" s="28" t="str">
        <f>IF(ISNA(VLOOKUP(BQ30,Aufenthalte!$A:$B,2,FALSE))=TRUE,"",VLOOKUP(BQ30,Aufenthalte!$A:$B,2,FALSE))</f>
        <v>Mama</v>
      </c>
      <c r="BW30" s="25">
        <f t="shared" si="17"/>
        <v>28</v>
      </c>
      <c r="BX30" s="26">
        <f t="shared" si="18"/>
        <v>43309</v>
      </c>
      <c r="BY30" s="24" t="str">
        <f t="shared" si="19"/>
        <v/>
      </c>
      <c r="BZ30" s="54" t="str">
        <f>IF(ISNA(VLOOKUP(BQ30,Aufenthalte!$A:$G,7,FALSE))=TRUE,"",VLOOKUP(BQ30,Aufenthalte!$A:$G,7,FALSE))</f>
        <v xml:space="preserve">
</v>
      </c>
      <c r="CA30" s="7" t="str">
        <f t="shared" si="60"/>
        <v/>
      </c>
      <c r="CB30" s="27">
        <f>DATE(Konfiguration!$B$2,8,$B30)</f>
        <v>43340</v>
      </c>
      <c r="CC30" s="28">
        <f t="shared" si="61"/>
        <v>0</v>
      </c>
      <c r="CD30" s="28">
        <f>IF(ISNA(VLOOKUP(CB30,Ferien!$A:$A,1,FALSE))=TRUE,0,1)</f>
        <v>0</v>
      </c>
      <c r="CE30" s="28">
        <f>IF(ISNA(VLOOKUP(CB30,Feiertage!$A:$A,1,FALSE))=TRUE,0,1)</f>
        <v>0</v>
      </c>
      <c r="CF30" s="28">
        <f>IF(ISNA(VLOOKUP(CB30,Termine!$A:$A,1,FALSE))=TRUE,0,1)</f>
        <v>0</v>
      </c>
      <c r="CG30" s="28" t="str">
        <f>IF(ISNA(VLOOKUP(CB30,Aufenthalte!$A:$B,2,FALSE))=TRUE,"",VLOOKUP(CB30,Aufenthalte!$A:$B,2,FALSE))</f>
        <v>Mama</v>
      </c>
      <c r="CH30" s="25">
        <f t="shared" si="21"/>
        <v>28</v>
      </c>
      <c r="CI30" s="26">
        <f t="shared" si="22"/>
        <v>43340</v>
      </c>
      <c r="CJ30" s="24" t="str">
        <f t="shared" si="23"/>
        <v/>
      </c>
      <c r="CK30" s="54" t="str">
        <f>IF(ISNA(VLOOKUP(CB30,Aufenthalte!$A:$G,7,FALSE))=TRUE,"",VLOOKUP(CB30,Aufenthalte!$A:$G,7,FALSE))</f>
        <v xml:space="preserve">
</v>
      </c>
      <c r="CL30" s="7" t="str">
        <f t="shared" si="62"/>
        <v/>
      </c>
      <c r="CM30" s="27">
        <f>DATE(Konfiguration!$B$2,9,$B30)</f>
        <v>43371</v>
      </c>
      <c r="CN30" s="28">
        <f t="shared" si="63"/>
        <v>0</v>
      </c>
      <c r="CO30" s="28">
        <f>IF(ISNA(VLOOKUP(CM30,Ferien!$A:$A,1,FALSE))=TRUE,0,1)</f>
        <v>0</v>
      </c>
      <c r="CP30" s="28">
        <f>IF(ISNA(VLOOKUP(CM30,Feiertage!$A:$A,1,FALSE))=TRUE,0,1)</f>
        <v>0</v>
      </c>
      <c r="CQ30" s="28">
        <f>IF(ISNA(VLOOKUP(CM30,Termine!$A:$A,1,FALSE))=TRUE,0,1)</f>
        <v>0</v>
      </c>
      <c r="CR30" s="28" t="str">
        <f>IF(ISNA(VLOOKUP(CM30,Aufenthalte!$A:$B,2,FALSE))=TRUE,"",VLOOKUP(CM30,Aufenthalte!$A:$B,2,FALSE))</f>
        <v>Mama</v>
      </c>
      <c r="CS30" s="25">
        <f t="shared" si="25"/>
        <v>28</v>
      </c>
      <c r="CT30" s="26">
        <f t="shared" si="26"/>
        <v>43371</v>
      </c>
      <c r="CU30" s="24" t="str">
        <f t="shared" si="27"/>
        <v/>
      </c>
      <c r="CV30" s="54" t="str">
        <f>IF(ISNA(VLOOKUP(CM30,Aufenthalte!$A:$G,7,FALSE))=TRUE,"",VLOOKUP(CM30,Aufenthalte!$A:$G,7,FALSE))</f>
        <v xml:space="preserve">
</v>
      </c>
      <c r="CW30" s="7" t="str">
        <f t="shared" si="64"/>
        <v/>
      </c>
      <c r="CX30" s="27">
        <f>DATE(Konfiguration!$B$2,10,$B30)</f>
        <v>43401</v>
      </c>
      <c r="CY30" s="28">
        <f t="shared" si="65"/>
        <v>1</v>
      </c>
      <c r="CZ30" s="28">
        <f>IF(ISNA(VLOOKUP(CX30,Ferien!$A:$A,1,FALSE))=TRUE,0,1)</f>
        <v>0</v>
      </c>
      <c r="DA30" s="28">
        <f>IF(ISNA(VLOOKUP(CX30,Feiertage!$A:$A,1,FALSE))=TRUE,0,1)</f>
        <v>0</v>
      </c>
      <c r="DB30" s="28">
        <f>IF(ISNA(VLOOKUP(CX30,Termine!$A:$A,1,FALSE))=TRUE,0,1)</f>
        <v>0</v>
      </c>
      <c r="DC30" s="28" t="str">
        <f>IF(ISNA(VLOOKUP(CX30,Aufenthalte!$A:$B,2,FALSE))=TRUE,"",VLOOKUP(CX30,Aufenthalte!$A:$B,2,FALSE))</f>
        <v>Mama</v>
      </c>
      <c r="DD30" s="25">
        <f t="shared" si="29"/>
        <v>28</v>
      </c>
      <c r="DE30" s="26">
        <f t="shared" si="30"/>
        <v>43401</v>
      </c>
      <c r="DF30" s="24" t="str">
        <f t="shared" si="31"/>
        <v/>
      </c>
      <c r="DG30" s="54" t="str">
        <f>IF(ISNA(VLOOKUP(CX30,Aufenthalte!$A:$G,7,FALSE))=TRUE,"",VLOOKUP(CX30,Aufenthalte!$A:$G,7,FALSE))</f>
        <v xml:space="preserve">
</v>
      </c>
      <c r="DH30" s="7" t="str">
        <f t="shared" si="66"/>
        <v/>
      </c>
      <c r="DI30" s="27">
        <f>DATE(Konfiguration!$B$2,11,$B30)</f>
        <v>43432</v>
      </c>
      <c r="DJ30" s="28">
        <f t="shared" si="67"/>
        <v>0</v>
      </c>
      <c r="DK30" s="28">
        <f>IF(ISNA(VLOOKUP(DI30,Ferien!$A:$A,1,FALSE))=TRUE,0,1)</f>
        <v>0</v>
      </c>
      <c r="DL30" s="28">
        <f>IF(ISNA(VLOOKUP(DI30,Feiertage!$A:$A,1,FALSE))=TRUE,0,1)</f>
        <v>0</v>
      </c>
      <c r="DM30" s="28">
        <f>IF(ISNA(VLOOKUP(DI30,Termine!$A:$A,1,FALSE))=TRUE,0,1)</f>
        <v>0</v>
      </c>
      <c r="DN30" s="28" t="str">
        <f>IF(ISNA(VLOOKUP(DI30,Aufenthalte!$A:$B,2,FALSE))=TRUE,"",VLOOKUP(DI30,Aufenthalte!$A:$B,2,FALSE))</f>
        <v>Mama</v>
      </c>
      <c r="DO30" s="25">
        <f t="shared" si="33"/>
        <v>28</v>
      </c>
      <c r="DP30" s="26">
        <f t="shared" si="34"/>
        <v>43432</v>
      </c>
      <c r="DQ30" s="24" t="str">
        <f t="shared" si="35"/>
        <v/>
      </c>
      <c r="DR30" s="54" t="str">
        <f>IF(ISNA(VLOOKUP(DI30,Aufenthalte!$A:$G,7,FALSE))=TRUE,"",VLOOKUP(DI30,Aufenthalte!$A:$G,7,FALSE))</f>
        <v xml:space="preserve">
</v>
      </c>
      <c r="DS30" s="7" t="str">
        <f t="shared" si="68"/>
        <v/>
      </c>
      <c r="DT30" s="27">
        <f>DATE(Konfiguration!$B$2,12,$B30)</f>
        <v>43462</v>
      </c>
      <c r="DU30" s="28">
        <f t="shared" si="69"/>
        <v>0</v>
      </c>
      <c r="DV30" s="28">
        <f>IF(ISNA(VLOOKUP(DT30,Ferien!$A:$A,1,FALSE))=TRUE,0,1)</f>
        <v>1</v>
      </c>
      <c r="DW30" s="28">
        <f>IF(ISNA(VLOOKUP(DT30,Feiertage!$A:$A,1,FALSE))=TRUE,0,1)</f>
        <v>0</v>
      </c>
      <c r="DX30" s="28">
        <f>IF(ISNA(VLOOKUP(DT30,Termine!$A:$A,1,FALSE))=TRUE,0,1)</f>
        <v>0</v>
      </c>
      <c r="DY30" s="28" t="str">
        <f>IF(ISNA(VLOOKUP(DT30,Aufenthalte!$A:$B,2,FALSE))=TRUE,"",VLOOKUP(DT30,Aufenthalte!$A:$B,2,FALSE))</f>
        <v>Mama</v>
      </c>
      <c r="DZ30" s="25">
        <f t="shared" si="37"/>
        <v>28</v>
      </c>
      <c r="EA30" s="26">
        <f t="shared" si="38"/>
        <v>43462</v>
      </c>
      <c r="EB30" s="24" t="str">
        <f t="shared" si="39"/>
        <v/>
      </c>
      <c r="EC30" s="54" t="str">
        <f>IF(ISNA(VLOOKUP(DT30,Aufenthalte!$A:$G,7,FALSE))=TRUE,"",VLOOKUP(DT30,Aufenthalte!$A:$G,7,FALSE))</f>
        <v xml:space="preserve">
</v>
      </c>
      <c r="ED30" s="7" t="str">
        <f t="shared" si="70"/>
        <v/>
      </c>
      <c r="EE30" s="10"/>
      <c r="EF30" s="48"/>
      <c r="EG30" s="48"/>
      <c r="EH30" s="48"/>
      <c r="EI30" s="48"/>
      <c r="EJ30" s="48"/>
      <c r="EK30" s="48"/>
      <c r="EL30" s="48"/>
      <c r="EM30" s="9"/>
      <c r="EN30" s="122"/>
      <c r="EO30" s="123"/>
    </row>
    <row r="31" spans="2:145" s="1" customFormat="1" ht="21" customHeight="1">
      <c r="B31" s="8">
        <v>29</v>
      </c>
      <c r="C31" s="27">
        <f>DATE(Konfiguration!$B$2,1,$B31)</f>
        <v>43129</v>
      </c>
      <c r="D31" s="28">
        <f t="shared" si="45"/>
        <v>0</v>
      </c>
      <c r="E31" s="28">
        <f>IF(ISNA(VLOOKUP(C31,Ferien!$A:$A,1,FALSE))=TRUE,0,1)</f>
        <v>0</v>
      </c>
      <c r="F31" s="28">
        <f>IF(ISNA(VLOOKUP(C31,Feiertage!$A:$A,1,FALSE))=TRUE,0,1)</f>
        <v>0</v>
      </c>
      <c r="G31" s="28">
        <f>IF(ISNA(VLOOKUP(C31,Termine!$A:$A,1,FALSE))=TRUE,0,1)</f>
        <v>0</v>
      </c>
      <c r="H31" s="28" t="str">
        <f>IF(ISNA(VLOOKUP(C31,Aufenthalte!$A:$B,2,FALSE))=TRUE,"",VLOOKUP(C31,Aufenthalte!$A:$B,2,FALSE))</f>
        <v>Mama</v>
      </c>
      <c r="I31" s="25">
        <f t="shared" si="46"/>
        <v>29</v>
      </c>
      <c r="J31" s="26">
        <f t="shared" si="0"/>
        <v>43129</v>
      </c>
      <c r="K31" s="24" t="str">
        <f t="shared" si="47"/>
        <v/>
      </c>
      <c r="L31" s="54" t="str">
        <f>IF(ISNA(VLOOKUP(C31,Aufenthalte!$A:$G,7,FALSE))=TRUE,"",VLOOKUP(C31,Aufenthalte!$A:$G,7,FALSE))</f>
        <v xml:space="preserve">
</v>
      </c>
      <c r="M31" s="32">
        <f t="shared" si="77"/>
        <v>5</v>
      </c>
      <c r="N31" s="27" t="str">
        <f>IF(DAY(DATE(Konfiguration!$B$2,2,$B31))=29,DATE(Konfiguration!$B$2,2,$B31),"")</f>
        <v/>
      </c>
      <c r="O31" s="29" t="str">
        <f>IF(DAY(DATE(Konfiguration!$B$2,2,$B31))=29,IF(OR(WEEKDAY(N31)=1,WEEKDAY(N31)=7),1,0),"")</f>
        <v/>
      </c>
      <c r="P31" s="29" t="str">
        <f>IF(DAY(DATE(Konfiguration!$B$2,2,$B31))=29,IF(ISNA(VLOOKUP(N31,Ferien!$A:$A,1,FALSE))=TRUE,0,1),"")</f>
        <v/>
      </c>
      <c r="Q31" s="29" t="str">
        <f>IF(DAY(DATE(Konfiguration!$B$2,2,$B31))=29,IF(ISNA(VLOOKUP(N31,Feiertage!$A:$A,1,FALSE))=TRUE,0,1),"")</f>
        <v/>
      </c>
      <c r="R31" s="29" t="str">
        <f>IF(DAY(DATE(Konfiguration!$B$2,2,$B31))=29,IF(ISNA(VLOOKUP(N31,Termine!$A:$A,1,FALSE))=TRUE,0,1),"")</f>
        <v/>
      </c>
      <c r="S31" s="28" t="str">
        <f>IF(DAY(DATE(Konfiguration!$B$2,2,$B31))=29,IF(ISNA(VLOOKUP(N31,Aufenthalte!$A:$B,2,FALSE))=TRUE,"",VLOOKUP(N31,Aufenthalte!$A:$B,2,FALSE)),"")</f>
        <v/>
      </c>
      <c r="T31" s="30" t="str">
        <f>IF(DAY(DATE(Konfiguration!$B$2,2,$B31))=29,DAY(N31),"")</f>
        <v/>
      </c>
      <c r="U31" s="31" t="str">
        <f>IF(DAY(DATE(Konfiguration!$B$2,2,$B31))=29,N31,"")</f>
        <v/>
      </c>
      <c r="V31" s="24" t="str">
        <f t="shared" si="2"/>
        <v/>
      </c>
      <c r="W31" s="54" t="str">
        <f>IF(ISNA(VLOOKUP(N31,Aufenthalte!$A:$G,7,FALSE))=TRUE,"",VLOOKUP(N31,Aufenthalte!$A:$G,7,FALSE))</f>
        <v xml:space="preserve">
</v>
      </c>
      <c r="X31" s="32" t="str">
        <f t="shared" ref="X31" si="78">IF(TEXT(N31,"TTT")="Mo",WEEKNUM(N31),"")</f>
        <v/>
      </c>
      <c r="Y31" s="27">
        <f>DATE(Konfiguration!$B$2,3,$B31)</f>
        <v>43188</v>
      </c>
      <c r="Z31" s="28">
        <f t="shared" si="73"/>
        <v>0</v>
      </c>
      <c r="AA31" s="28">
        <f>IF(ISNA(VLOOKUP(Y31,Ferien!$A:$A,1,FALSE))=TRUE,0,1)</f>
        <v>1</v>
      </c>
      <c r="AB31" s="28">
        <f>IF(ISNA(VLOOKUP(Y31,Feiertage!$A:$A,1,FALSE))=TRUE,0,1)</f>
        <v>0</v>
      </c>
      <c r="AC31" s="28">
        <f>IF(ISNA(VLOOKUP(Y31,Termine!$A:$A,1,FALSE))=TRUE,0,1)</f>
        <v>0</v>
      </c>
      <c r="AD31" s="28" t="str">
        <f>IF(ISNA(VLOOKUP(Y31,Aufenthalte!$A:$B,2,FALSE))=TRUE,"",VLOOKUP(Y31,Aufenthalte!$A:$B,2,FALSE))</f>
        <v>Mama</v>
      </c>
      <c r="AE31" s="25">
        <f t="shared" si="74"/>
        <v>29</v>
      </c>
      <c r="AF31" s="26">
        <f t="shared" si="75"/>
        <v>43188</v>
      </c>
      <c r="AG31" s="24" t="str">
        <f t="shared" si="76"/>
        <v/>
      </c>
      <c r="AH31" s="54" t="str">
        <f>IF(ISNA(VLOOKUP(Y31,Aufenthalte!$A:$G,7,FALSE))=TRUE,"",VLOOKUP(Y31,Aufenthalte!$A:$G,7,FALSE))</f>
        <v xml:space="preserve">
</v>
      </c>
      <c r="AI31" s="7" t="str">
        <f t="shared" si="52"/>
        <v/>
      </c>
      <c r="AJ31" s="27">
        <f>DATE(Konfiguration!$B$2,4,$B31)</f>
        <v>43219</v>
      </c>
      <c r="AK31" s="28">
        <f t="shared" si="53"/>
        <v>1</v>
      </c>
      <c r="AL31" s="28">
        <f>IF(ISNA(VLOOKUP(AJ31,Ferien!$A:$A,1,FALSE))=TRUE,0,1)</f>
        <v>0</v>
      </c>
      <c r="AM31" s="28">
        <f>IF(ISNA(VLOOKUP(AJ31,Feiertage!$A:$A,1,FALSE))=TRUE,0,1)</f>
        <v>0</v>
      </c>
      <c r="AN31" s="28">
        <f>IF(ISNA(VLOOKUP(AJ31,Termine!$A:$A,1,FALSE))=TRUE,0,1)</f>
        <v>0</v>
      </c>
      <c r="AO31" s="28" t="str">
        <f>IF(ISNA(VLOOKUP(AJ31,Aufenthalte!$A:$B,2,FALSE))=TRUE,"",VLOOKUP(AJ31,Aufenthalte!$A:$B,2,FALSE))</f>
        <v>Mama</v>
      </c>
      <c r="AP31" s="25">
        <f t="shared" si="5"/>
        <v>29</v>
      </c>
      <c r="AQ31" s="26">
        <f t="shared" si="6"/>
        <v>43219</v>
      </c>
      <c r="AR31" s="24" t="str">
        <f t="shared" si="7"/>
        <v/>
      </c>
      <c r="AS31" s="54" t="str">
        <f>IF(ISNA(VLOOKUP(AJ31,Aufenthalte!$A:$G,7,FALSE))=TRUE,"",VLOOKUP(AJ31,Aufenthalte!$A:$G,7,FALSE))</f>
        <v xml:space="preserve">
</v>
      </c>
      <c r="AT31" s="7" t="str">
        <f t="shared" si="54"/>
        <v/>
      </c>
      <c r="AU31" s="27">
        <f>DATE(Konfiguration!$B$2,5,$B31)</f>
        <v>43249</v>
      </c>
      <c r="AV31" s="28">
        <f t="shared" si="55"/>
        <v>0</v>
      </c>
      <c r="AW31" s="28">
        <f>IF(ISNA(VLOOKUP(AU31,Ferien!$A:$A,1,FALSE))=TRUE,0,1)</f>
        <v>0</v>
      </c>
      <c r="AX31" s="28">
        <f>IF(ISNA(VLOOKUP(AU31,Feiertage!$A:$A,1,FALSE))=TRUE,0,1)</f>
        <v>0</v>
      </c>
      <c r="AY31" s="28">
        <f>IF(ISNA(VLOOKUP(AU31,Termine!$A:$A,1,FALSE))=TRUE,0,1)</f>
        <v>0</v>
      </c>
      <c r="AZ31" s="28" t="str">
        <f>IF(ISNA(VLOOKUP(AU31,Aufenthalte!$A:$B,2,FALSE))=TRUE,"",VLOOKUP(AU31,Aufenthalte!$A:$B,2,FALSE))</f>
        <v>Mama</v>
      </c>
      <c r="BA31" s="25">
        <f t="shared" si="9"/>
        <v>29</v>
      </c>
      <c r="BB31" s="26">
        <f t="shared" si="10"/>
        <v>43249</v>
      </c>
      <c r="BC31" s="24" t="str">
        <f t="shared" si="11"/>
        <v/>
      </c>
      <c r="BD31" s="54" t="str">
        <f>IF(ISNA(VLOOKUP(AU31,Aufenthalte!$A:$G,7,FALSE))=TRUE,"",VLOOKUP(AU31,Aufenthalte!$A:$G,7,FALSE))</f>
        <v xml:space="preserve">
</v>
      </c>
      <c r="BE31" s="7" t="str">
        <f t="shared" si="56"/>
        <v/>
      </c>
      <c r="BF31" s="27">
        <f>DATE(Konfiguration!$B$2,6,$B31)</f>
        <v>43280</v>
      </c>
      <c r="BG31" s="28">
        <f t="shared" si="57"/>
        <v>0</v>
      </c>
      <c r="BH31" s="28">
        <f>IF(ISNA(VLOOKUP(BF31,Ferien!$A:$A,1,FALSE))=TRUE,0,1)</f>
        <v>1</v>
      </c>
      <c r="BI31" s="28">
        <f>IF(ISNA(VLOOKUP(BF31,Feiertage!$A:$A,1,FALSE))=TRUE,0,1)</f>
        <v>0</v>
      </c>
      <c r="BJ31" s="28">
        <f>IF(ISNA(VLOOKUP(BF31,Termine!$A:$A,1,FALSE))=TRUE,0,1)</f>
        <v>0</v>
      </c>
      <c r="BK31" s="28" t="str">
        <f>IF(ISNA(VLOOKUP(BF31,Aufenthalte!$A:$B,2,FALSE))=TRUE,"",VLOOKUP(BF31,Aufenthalte!$A:$B,2,FALSE))</f>
        <v>Mama</v>
      </c>
      <c r="BL31" s="25">
        <f t="shared" si="13"/>
        <v>29</v>
      </c>
      <c r="BM31" s="26">
        <f t="shared" si="14"/>
        <v>43280</v>
      </c>
      <c r="BN31" s="24" t="str">
        <f t="shared" si="15"/>
        <v/>
      </c>
      <c r="BO31" s="54" t="str">
        <f>IF(ISNA(VLOOKUP(BF31,Aufenthalte!$A:$G,7,FALSE))=TRUE,"",VLOOKUP(BF31,Aufenthalte!$A:$G,7,FALSE))</f>
        <v xml:space="preserve">
</v>
      </c>
      <c r="BP31" s="7" t="str">
        <f t="shared" si="58"/>
        <v/>
      </c>
      <c r="BQ31" s="27">
        <f>DATE(Konfiguration!$B$2,7,$B31)</f>
        <v>43310</v>
      </c>
      <c r="BR31" s="28">
        <f t="shared" si="59"/>
        <v>1</v>
      </c>
      <c r="BS31" s="28">
        <f>IF(ISNA(VLOOKUP(BQ31,Ferien!$A:$A,1,FALSE))=TRUE,0,1)</f>
        <v>1</v>
      </c>
      <c r="BT31" s="28">
        <f>IF(ISNA(VLOOKUP(BQ31,Feiertage!$A:$A,1,FALSE))=TRUE,0,1)</f>
        <v>0</v>
      </c>
      <c r="BU31" s="28">
        <f>IF(ISNA(VLOOKUP(BQ31,Termine!$A:$A,1,FALSE))=TRUE,0,1)</f>
        <v>0</v>
      </c>
      <c r="BV31" s="28" t="str">
        <f>IF(ISNA(VLOOKUP(BQ31,Aufenthalte!$A:$B,2,FALSE))=TRUE,"",VLOOKUP(BQ31,Aufenthalte!$A:$B,2,FALSE))</f>
        <v>Mama</v>
      </c>
      <c r="BW31" s="25">
        <f t="shared" si="17"/>
        <v>29</v>
      </c>
      <c r="BX31" s="26">
        <f t="shared" si="18"/>
        <v>43310</v>
      </c>
      <c r="BY31" s="24" t="str">
        <f t="shared" si="19"/>
        <v/>
      </c>
      <c r="BZ31" s="54" t="str">
        <f>IF(ISNA(VLOOKUP(BQ31,Aufenthalte!$A:$G,7,FALSE))=TRUE,"",VLOOKUP(BQ31,Aufenthalte!$A:$G,7,FALSE))</f>
        <v xml:space="preserve">
</v>
      </c>
      <c r="CA31" s="7" t="str">
        <f t="shared" si="60"/>
        <v/>
      </c>
      <c r="CB31" s="27">
        <f>DATE(Konfiguration!$B$2,8,$B31)</f>
        <v>43341</v>
      </c>
      <c r="CC31" s="28">
        <f t="shared" si="61"/>
        <v>0</v>
      </c>
      <c r="CD31" s="28">
        <f>IF(ISNA(VLOOKUP(CB31,Ferien!$A:$A,1,FALSE))=TRUE,0,1)</f>
        <v>0</v>
      </c>
      <c r="CE31" s="28">
        <f>IF(ISNA(VLOOKUP(CB31,Feiertage!$A:$A,1,FALSE))=TRUE,0,1)</f>
        <v>0</v>
      </c>
      <c r="CF31" s="28">
        <f>IF(ISNA(VLOOKUP(CB31,Termine!$A:$A,1,FALSE))=TRUE,0,1)</f>
        <v>0</v>
      </c>
      <c r="CG31" s="28" t="str">
        <f>IF(ISNA(VLOOKUP(CB31,Aufenthalte!$A:$B,2,FALSE))=TRUE,"",VLOOKUP(CB31,Aufenthalte!$A:$B,2,FALSE))</f>
        <v>Mama</v>
      </c>
      <c r="CH31" s="25">
        <f t="shared" si="21"/>
        <v>29</v>
      </c>
      <c r="CI31" s="26">
        <f t="shared" si="22"/>
        <v>43341</v>
      </c>
      <c r="CJ31" s="24" t="str">
        <f t="shared" si="23"/>
        <v/>
      </c>
      <c r="CK31" s="54" t="str">
        <f>IF(ISNA(VLOOKUP(CB31,Aufenthalte!$A:$G,7,FALSE))=TRUE,"",VLOOKUP(CB31,Aufenthalte!$A:$G,7,FALSE))</f>
        <v xml:space="preserve">
</v>
      </c>
      <c r="CL31" s="7" t="str">
        <f t="shared" si="62"/>
        <v/>
      </c>
      <c r="CM31" s="27">
        <f>DATE(Konfiguration!$B$2,9,$B31)</f>
        <v>43372</v>
      </c>
      <c r="CN31" s="28">
        <f t="shared" si="63"/>
        <v>1</v>
      </c>
      <c r="CO31" s="28">
        <f>IF(ISNA(VLOOKUP(CM31,Ferien!$A:$A,1,FALSE))=TRUE,0,1)</f>
        <v>0</v>
      </c>
      <c r="CP31" s="28">
        <f>IF(ISNA(VLOOKUP(CM31,Feiertage!$A:$A,1,FALSE))=TRUE,0,1)</f>
        <v>0</v>
      </c>
      <c r="CQ31" s="28">
        <f>IF(ISNA(VLOOKUP(CM31,Termine!$A:$A,1,FALSE))=TRUE,0,1)</f>
        <v>0</v>
      </c>
      <c r="CR31" s="28" t="str">
        <f>IF(ISNA(VLOOKUP(CM31,Aufenthalte!$A:$B,2,FALSE))=TRUE,"",VLOOKUP(CM31,Aufenthalte!$A:$B,2,FALSE))</f>
        <v>Mama</v>
      </c>
      <c r="CS31" s="25">
        <f t="shared" si="25"/>
        <v>29</v>
      </c>
      <c r="CT31" s="26">
        <f t="shared" si="26"/>
        <v>43372</v>
      </c>
      <c r="CU31" s="24" t="str">
        <f t="shared" si="27"/>
        <v/>
      </c>
      <c r="CV31" s="54" t="str">
        <f>IF(ISNA(VLOOKUP(CM31,Aufenthalte!$A:$G,7,FALSE))=TRUE,"",VLOOKUP(CM31,Aufenthalte!$A:$G,7,FALSE))</f>
        <v xml:space="preserve">
</v>
      </c>
      <c r="CW31" s="7" t="str">
        <f t="shared" si="64"/>
        <v/>
      </c>
      <c r="CX31" s="27">
        <f>DATE(Konfiguration!$B$2,10,$B31)</f>
        <v>43402</v>
      </c>
      <c r="CY31" s="28">
        <f t="shared" si="65"/>
        <v>0</v>
      </c>
      <c r="CZ31" s="28">
        <f>IF(ISNA(VLOOKUP(CX31,Ferien!$A:$A,1,FALSE))=TRUE,0,1)</f>
        <v>0</v>
      </c>
      <c r="DA31" s="28">
        <f>IF(ISNA(VLOOKUP(CX31,Feiertage!$A:$A,1,FALSE))=TRUE,0,1)</f>
        <v>0</v>
      </c>
      <c r="DB31" s="28">
        <f>IF(ISNA(VLOOKUP(CX31,Termine!$A:$A,1,FALSE))=TRUE,0,1)</f>
        <v>0</v>
      </c>
      <c r="DC31" s="28" t="str">
        <f>IF(ISNA(VLOOKUP(CX31,Aufenthalte!$A:$B,2,FALSE))=TRUE,"",VLOOKUP(CX31,Aufenthalte!$A:$B,2,FALSE))</f>
        <v>Mama</v>
      </c>
      <c r="DD31" s="25">
        <f t="shared" si="29"/>
        <v>29</v>
      </c>
      <c r="DE31" s="26">
        <f t="shared" si="30"/>
        <v>43402</v>
      </c>
      <c r="DF31" s="24" t="str">
        <f t="shared" si="31"/>
        <v/>
      </c>
      <c r="DG31" s="54" t="str">
        <f>IF(ISNA(VLOOKUP(CX31,Aufenthalte!$A:$G,7,FALSE))=TRUE,"",VLOOKUP(CX31,Aufenthalte!$A:$G,7,FALSE))</f>
        <v xml:space="preserve">
</v>
      </c>
      <c r="DH31" s="7">
        <f t="shared" si="66"/>
        <v>44</v>
      </c>
      <c r="DI31" s="27">
        <f>DATE(Konfiguration!$B$2,11,$B31)</f>
        <v>43433</v>
      </c>
      <c r="DJ31" s="28">
        <f t="shared" si="67"/>
        <v>0</v>
      </c>
      <c r="DK31" s="28">
        <f>IF(ISNA(VLOOKUP(DI31,Ferien!$A:$A,1,FALSE))=TRUE,0,1)</f>
        <v>0</v>
      </c>
      <c r="DL31" s="28">
        <f>IF(ISNA(VLOOKUP(DI31,Feiertage!$A:$A,1,FALSE))=TRUE,0,1)</f>
        <v>0</v>
      </c>
      <c r="DM31" s="28">
        <f>IF(ISNA(VLOOKUP(DI31,Termine!$A:$A,1,FALSE))=TRUE,0,1)</f>
        <v>0</v>
      </c>
      <c r="DN31" s="28" t="str">
        <f>IF(ISNA(VLOOKUP(DI31,Aufenthalte!$A:$B,2,FALSE))=TRUE,"",VLOOKUP(DI31,Aufenthalte!$A:$B,2,FALSE))</f>
        <v>Mama</v>
      </c>
      <c r="DO31" s="25">
        <f t="shared" si="33"/>
        <v>29</v>
      </c>
      <c r="DP31" s="26">
        <f t="shared" si="34"/>
        <v>43433</v>
      </c>
      <c r="DQ31" s="24" t="str">
        <f t="shared" si="35"/>
        <v/>
      </c>
      <c r="DR31" s="54" t="str">
        <f>IF(ISNA(VLOOKUP(DI31,Aufenthalte!$A:$G,7,FALSE))=TRUE,"",VLOOKUP(DI31,Aufenthalte!$A:$G,7,FALSE))</f>
        <v xml:space="preserve">
</v>
      </c>
      <c r="DS31" s="7" t="str">
        <f t="shared" si="68"/>
        <v/>
      </c>
      <c r="DT31" s="27">
        <f>DATE(Konfiguration!$B$2,12,$B31)</f>
        <v>43463</v>
      </c>
      <c r="DU31" s="28">
        <f t="shared" si="69"/>
        <v>1</v>
      </c>
      <c r="DV31" s="28">
        <f>IF(ISNA(VLOOKUP(DT31,Ferien!$A:$A,1,FALSE))=TRUE,0,1)</f>
        <v>1</v>
      </c>
      <c r="DW31" s="28">
        <f>IF(ISNA(VLOOKUP(DT31,Feiertage!$A:$A,1,FALSE))=TRUE,0,1)</f>
        <v>0</v>
      </c>
      <c r="DX31" s="28">
        <f>IF(ISNA(VLOOKUP(DT31,Termine!$A:$A,1,FALSE))=TRUE,0,1)</f>
        <v>0</v>
      </c>
      <c r="DY31" s="28" t="str">
        <f>IF(ISNA(VLOOKUP(DT31,Aufenthalte!$A:$B,2,FALSE))=TRUE,"",VLOOKUP(DT31,Aufenthalte!$A:$B,2,FALSE))</f>
        <v>Mama</v>
      </c>
      <c r="DZ31" s="25">
        <f t="shared" si="37"/>
        <v>29</v>
      </c>
      <c r="EA31" s="26">
        <f t="shared" si="38"/>
        <v>43463</v>
      </c>
      <c r="EB31" s="24" t="str">
        <f t="shared" si="39"/>
        <v/>
      </c>
      <c r="EC31" s="54" t="str">
        <f>IF(ISNA(VLOOKUP(DT31,Aufenthalte!$A:$G,7,FALSE))=TRUE,"",VLOOKUP(DT31,Aufenthalte!$A:$G,7,FALSE))</f>
        <v xml:space="preserve">
</v>
      </c>
      <c r="ED31" s="7" t="str">
        <f t="shared" si="70"/>
        <v/>
      </c>
      <c r="EE31" s="10"/>
      <c r="EF31" s="48"/>
      <c r="EG31" s="48"/>
      <c r="EH31" s="48"/>
      <c r="EI31" s="48"/>
      <c r="EJ31" s="48"/>
      <c r="EK31" s="48"/>
      <c r="EL31" s="48"/>
      <c r="EM31" s="9"/>
      <c r="EN31" s="122"/>
      <c r="EO31" s="123"/>
    </row>
    <row r="32" spans="2:145" s="1" customFormat="1" ht="21" customHeight="1">
      <c r="B32" s="8">
        <v>30</v>
      </c>
      <c r="C32" s="27">
        <f>DATE(Konfiguration!$B$2,1,$B32)</f>
        <v>43130</v>
      </c>
      <c r="D32" s="28">
        <f t="shared" si="45"/>
        <v>0</v>
      </c>
      <c r="E32" s="28">
        <f>IF(ISNA(VLOOKUP(C32,Ferien!$A:$A,1,FALSE))=TRUE,0,1)</f>
        <v>0</v>
      </c>
      <c r="F32" s="28">
        <f>IF(ISNA(VLOOKUP(C32,Feiertage!$A:$A,1,FALSE))=TRUE,0,1)</f>
        <v>0</v>
      </c>
      <c r="G32" s="28">
        <f>IF(ISNA(VLOOKUP(C32,Termine!$A:$A,1,FALSE))=TRUE,0,1)</f>
        <v>0</v>
      </c>
      <c r="H32" s="28" t="str">
        <f>IF(ISNA(VLOOKUP(C32,Aufenthalte!$A:$B,2,FALSE))=TRUE,"",VLOOKUP(C32,Aufenthalte!$A:$B,2,FALSE))</f>
        <v>Mama</v>
      </c>
      <c r="I32" s="25">
        <f t="shared" si="46"/>
        <v>30</v>
      </c>
      <c r="J32" s="26">
        <f t="shared" si="0"/>
        <v>43130</v>
      </c>
      <c r="K32" s="24" t="str">
        <f t="shared" si="47"/>
        <v/>
      </c>
      <c r="L32" s="54" t="str">
        <f>IF(ISNA(VLOOKUP(C32,Aufenthalte!$A:$G,7,FALSE))=TRUE,"",VLOOKUP(C32,Aufenthalte!$A:$G,7,FALSE))</f>
        <v xml:space="preserve">
</v>
      </c>
      <c r="M32" s="32" t="str">
        <f t="shared" si="77"/>
        <v/>
      </c>
      <c r="N32" s="45"/>
      <c r="O32" s="43"/>
      <c r="P32" s="43"/>
      <c r="Q32" s="43"/>
      <c r="R32" s="44"/>
      <c r="S32" s="28" t="str">
        <f>IF(ISNA(VLOOKUP(N32,Aufenthalte!$A:$B,2,FALSE))=TRUE,"",VLOOKUP(N32,Aufenthalte!$A:$B,2,FALSE))</f>
        <v/>
      </c>
      <c r="T32" s="43"/>
      <c r="U32" s="23"/>
      <c r="V32" s="24" t="str">
        <f t="shared" si="2"/>
        <v/>
      </c>
      <c r="W32" s="34"/>
      <c r="X32" s="35"/>
      <c r="Y32" s="46">
        <f>DATE(Konfiguration!$B$2,3,$B32)</f>
        <v>43189</v>
      </c>
      <c r="Z32" s="28">
        <f t="shared" si="73"/>
        <v>0</v>
      </c>
      <c r="AA32" s="28">
        <f>IF(ISNA(VLOOKUP(Y32,Ferien!$A:$A,1,FALSE))=TRUE,0,1)</f>
        <v>1</v>
      </c>
      <c r="AB32" s="28">
        <f>IF(ISNA(VLOOKUP(Y32,Feiertage!$A:$A,1,FALSE))=TRUE,0,1)</f>
        <v>1</v>
      </c>
      <c r="AC32" s="28">
        <f>IF(ISNA(VLOOKUP(Y32,Termine!$A:$A,1,FALSE))=TRUE,0,1)</f>
        <v>0</v>
      </c>
      <c r="AD32" s="28" t="str">
        <f>IF(ISNA(VLOOKUP(Y32,Aufenthalte!$A:$B,2,FALSE))=TRUE,"",VLOOKUP(Y32,Aufenthalte!$A:$B,2,FALSE))</f>
        <v>Mama</v>
      </c>
      <c r="AE32" s="25">
        <f t="shared" si="74"/>
        <v>30</v>
      </c>
      <c r="AF32" s="26">
        <f t="shared" si="75"/>
        <v>43189</v>
      </c>
      <c r="AG32" s="24" t="str">
        <f t="shared" si="76"/>
        <v/>
      </c>
      <c r="AH32" s="54" t="str">
        <f>IF(ISNA(VLOOKUP(Y32,Aufenthalte!$A:$G,7,FALSE))=TRUE,"",VLOOKUP(Y32,Aufenthalte!$A:$G,7,FALSE))</f>
        <v xml:space="preserve">
</v>
      </c>
      <c r="AI32" s="7" t="str">
        <f t="shared" si="52"/>
        <v/>
      </c>
      <c r="AJ32" s="27">
        <f>DATE(Konfiguration!$B$2,4,$B32)</f>
        <v>43220</v>
      </c>
      <c r="AK32" s="28">
        <f t="shared" si="53"/>
        <v>0</v>
      </c>
      <c r="AL32" s="28">
        <f>IF(ISNA(VLOOKUP(AJ32,Ferien!$A:$A,1,FALSE))=TRUE,0,1)</f>
        <v>1</v>
      </c>
      <c r="AM32" s="28">
        <f>IF(ISNA(VLOOKUP(AJ32,Feiertage!$A:$A,1,FALSE))=TRUE,0,1)</f>
        <v>0</v>
      </c>
      <c r="AN32" s="28">
        <f>IF(ISNA(VLOOKUP(AJ32,Termine!$A:$A,1,FALSE))=TRUE,0,1)</f>
        <v>0</v>
      </c>
      <c r="AO32" s="28" t="str">
        <f>IF(ISNA(VLOOKUP(AJ32,Aufenthalte!$A:$B,2,FALSE))=TRUE,"",VLOOKUP(AJ32,Aufenthalte!$A:$B,2,FALSE))</f>
        <v>Mama</v>
      </c>
      <c r="AP32" s="25">
        <f t="shared" si="5"/>
        <v>30</v>
      </c>
      <c r="AQ32" s="26">
        <f t="shared" si="6"/>
        <v>43220</v>
      </c>
      <c r="AR32" s="24" t="str">
        <f t="shared" si="7"/>
        <v/>
      </c>
      <c r="AS32" s="54" t="str">
        <f>IF(ISNA(VLOOKUP(AJ32,Aufenthalte!$A:$G,7,FALSE))=TRUE,"",VLOOKUP(AJ32,Aufenthalte!$A:$G,7,FALSE))</f>
        <v xml:space="preserve">
</v>
      </c>
      <c r="AT32" s="7">
        <f t="shared" si="54"/>
        <v>18</v>
      </c>
      <c r="AU32" s="27">
        <f>DATE(Konfiguration!$B$2,5,$B32)</f>
        <v>43250</v>
      </c>
      <c r="AV32" s="28">
        <f t="shared" si="55"/>
        <v>0</v>
      </c>
      <c r="AW32" s="28">
        <f>IF(ISNA(VLOOKUP(AU32,Ferien!$A:$A,1,FALSE))=TRUE,0,1)</f>
        <v>0</v>
      </c>
      <c r="AX32" s="28">
        <f>IF(ISNA(VLOOKUP(AU32,Feiertage!$A:$A,1,FALSE))=TRUE,0,1)</f>
        <v>0</v>
      </c>
      <c r="AY32" s="28">
        <f>IF(ISNA(VLOOKUP(AU32,Termine!$A:$A,1,FALSE))=TRUE,0,1)</f>
        <v>0</v>
      </c>
      <c r="AZ32" s="28" t="str">
        <f>IF(ISNA(VLOOKUP(AU32,Aufenthalte!$A:$B,2,FALSE))=TRUE,"",VLOOKUP(AU32,Aufenthalte!$A:$B,2,FALSE))</f>
        <v>Mama</v>
      </c>
      <c r="BA32" s="25">
        <f t="shared" si="9"/>
        <v>30</v>
      </c>
      <c r="BB32" s="26">
        <f t="shared" si="10"/>
        <v>43250</v>
      </c>
      <c r="BC32" s="24" t="str">
        <f t="shared" si="11"/>
        <v/>
      </c>
      <c r="BD32" s="54" t="str">
        <f>IF(ISNA(VLOOKUP(AU32,Aufenthalte!$A:$G,7,FALSE))=TRUE,"",VLOOKUP(AU32,Aufenthalte!$A:$G,7,FALSE))</f>
        <v xml:space="preserve">
</v>
      </c>
      <c r="BE32" s="7" t="str">
        <f t="shared" si="56"/>
        <v/>
      </c>
      <c r="BF32" s="27">
        <f>DATE(Konfiguration!$B$2,6,$B32)</f>
        <v>43281</v>
      </c>
      <c r="BG32" s="28">
        <f t="shared" si="57"/>
        <v>1</v>
      </c>
      <c r="BH32" s="28">
        <f>IF(ISNA(VLOOKUP(BF32,Ferien!$A:$A,1,FALSE))=TRUE,0,1)</f>
        <v>1</v>
      </c>
      <c r="BI32" s="28">
        <f>IF(ISNA(VLOOKUP(BF32,Feiertage!$A:$A,1,FALSE))=TRUE,0,1)</f>
        <v>0</v>
      </c>
      <c r="BJ32" s="28">
        <f>IF(ISNA(VLOOKUP(BF32,Termine!$A:$A,1,FALSE))=TRUE,0,1)</f>
        <v>0</v>
      </c>
      <c r="BK32" s="28" t="str">
        <f>IF(ISNA(VLOOKUP(BF32,Aufenthalte!$A:$B,2,FALSE))=TRUE,"",VLOOKUP(BF32,Aufenthalte!$A:$B,2,FALSE))</f>
        <v>Mama</v>
      </c>
      <c r="BL32" s="25">
        <f t="shared" si="13"/>
        <v>30</v>
      </c>
      <c r="BM32" s="26">
        <f t="shared" si="14"/>
        <v>43281</v>
      </c>
      <c r="BN32" s="24" t="str">
        <f t="shared" si="15"/>
        <v/>
      </c>
      <c r="BO32" s="54" t="str">
        <f>IF(ISNA(VLOOKUP(BF32,Aufenthalte!$A:$G,7,FALSE))=TRUE,"",VLOOKUP(BF32,Aufenthalte!$A:$G,7,FALSE))</f>
        <v xml:space="preserve">
</v>
      </c>
      <c r="BP32" s="7" t="str">
        <f t="shared" si="58"/>
        <v/>
      </c>
      <c r="BQ32" s="27">
        <f>DATE(Konfiguration!$B$2,7,$B32)</f>
        <v>43311</v>
      </c>
      <c r="BR32" s="28">
        <f t="shared" si="59"/>
        <v>0</v>
      </c>
      <c r="BS32" s="28">
        <f>IF(ISNA(VLOOKUP(BQ32,Ferien!$A:$A,1,FALSE))=TRUE,0,1)</f>
        <v>1</v>
      </c>
      <c r="BT32" s="28">
        <f>IF(ISNA(VLOOKUP(BQ32,Feiertage!$A:$A,1,FALSE))=TRUE,0,1)</f>
        <v>0</v>
      </c>
      <c r="BU32" s="28">
        <f>IF(ISNA(VLOOKUP(BQ32,Termine!$A:$A,1,FALSE))=TRUE,0,1)</f>
        <v>0</v>
      </c>
      <c r="BV32" s="28" t="str">
        <f>IF(ISNA(VLOOKUP(BQ32,Aufenthalte!$A:$B,2,FALSE))=TRUE,"",VLOOKUP(BQ32,Aufenthalte!$A:$B,2,FALSE))</f>
        <v>Mama</v>
      </c>
      <c r="BW32" s="25">
        <f t="shared" si="17"/>
        <v>30</v>
      </c>
      <c r="BX32" s="26">
        <f t="shared" si="18"/>
        <v>43311</v>
      </c>
      <c r="BY32" s="24" t="str">
        <f t="shared" si="19"/>
        <v/>
      </c>
      <c r="BZ32" s="54" t="str">
        <f>IF(ISNA(VLOOKUP(BQ32,Aufenthalte!$A:$G,7,FALSE))=TRUE,"",VLOOKUP(BQ32,Aufenthalte!$A:$G,7,FALSE))</f>
        <v xml:space="preserve">
</v>
      </c>
      <c r="CA32" s="7">
        <f t="shared" si="60"/>
        <v>31</v>
      </c>
      <c r="CB32" s="27">
        <f>DATE(Konfiguration!$B$2,8,$B32)</f>
        <v>43342</v>
      </c>
      <c r="CC32" s="28">
        <f t="shared" si="61"/>
        <v>0</v>
      </c>
      <c r="CD32" s="28">
        <f>IF(ISNA(VLOOKUP(CB32,Ferien!$A:$A,1,FALSE))=TRUE,0,1)</f>
        <v>0</v>
      </c>
      <c r="CE32" s="28">
        <f>IF(ISNA(VLOOKUP(CB32,Feiertage!$A:$A,1,FALSE))=TRUE,0,1)</f>
        <v>0</v>
      </c>
      <c r="CF32" s="28">
        <f>IF(ISNA(VLOOKUP(CB32,Termine!$A:$A,1,FALSE))=TRUE,0,1)</f>
        <v>0</v>
      </c>
      <c r="CG32" s="28" t="str">
        <f>IF(ISNA(VLOOKUP(CB32,Aufenthalte!$A:$B,2,FALSE))=TRUE,"",VLOOKUP(CB32,Aufenthalte!$A:$B,2,FALSE))</f>
        <v>Mama</v>
      </c>
      <c r="CH32" s="25">
        <f t="shared" si="21"/>
        <v>30</v>
      </c>
      <c r="CI32" s="26">
        <f t="shared" si="22"/>
        <v>43342</v>
      </c>
      <c r="CJ32" s="24" t="str">
        <f t="shared" si="23"/>
        <v/>
      </c>
      <c r="CK32" s="54" t="str">
        <f>IF(ISNA(VLOOKUP(CB32,Aufenthalte!$A:$G,7,FALSE))=TRUE,"",VLOOKUP(CB32,Aufenthalte!$A:$G,7,FALSE))</f>
        <v xml:space="preserve">
</v>
      </c>
      <c r="CL32" s="7" t="str">
        <f t="shared" si="62"/>
        <v/>
      </c>
      <c r="CM32" s="27">
        <f>DATE(Konfiguration!$B$2,9,$B32)</f>
        <v>43373</v>
      </c>
      <c r="CN32" s="28">
        <f t="shared" si="63"/>
        <v>1</v>
      </c>
      <c r="CO32" s="28">
        <f>IF(ISNA(VLOOKUP(CM32,Ferien!$A:$A,1,FALSE))=TRUE,0,1)</f>
        <v>0</v>
      </c>
      <c r="CP32" s="28">
        <f>IF(ISNA(VLOOKUP(CM32,Feiertage!$A:$A,1,FALSE))=TRUE,0,1)</f>
        <v>0</v>
      </c>
      <c r="CQ32" s="28">
        <f>IF(ISNA(VLOOKUP(CM32,Termine!$A:$A,1,FALSE))=TRUE,0,1)</f>
        <v>0</v>
      </c>
      <c r="CR32" s="28" t="str">
        <f>IF(ISNA(VLOOKUP(CM32,Aufenthalte!$A:$B,2,FALSE))=TRUE,"",VLOOKUP(CM32,Aufenthalte!$A:$B,2,FALSE))</f>
        <v>Mama</v>
      </c>
      <c r="CS32" s="25">
        <f t="shared" si="25"/>
        <v>30</v>
      </c>
      <c r="CT32" s="26">
        <f t="shared" si="26"/>
        <v>43373</v>
      </c>
      <c r="CU32" s="24" t="str">
        <f t="shared" si="27"/>
        <v/>
      </c>
      <c r="CV32" s="54" t="str">
        <f>IF(ISNA(VLOOKUP(CM32,Aufenthalte!$A:$G,7,FALSE))=TRUE,"",VLOOKUP(CM32,Aufenthalte!$A:$G,7,FALSE))</f>
        <v xml:space="preserve">
</v>
      </c>
      <c r="CW32" s="7" t="str">
        <f t="shared" si="64"/>
        <v/>
      </c>
      <c r="CX32" s="27">
        <f>DATE(Konfiguration!$B$2,10,$B32)</f>
        <v>43403</v>
      </c>
      <c r="CY32" s="28">
        <f t="shared" si="65"/>
        <v>0</v>
      </c>
      <c r="CZ32" s="28">
        <f>IF(ISNA(VLOOKUP(CX32,Ferien!$A:$A,1,FALSE))=TRUE,0,1)</f>
        <v>0</v>
      </c>
      <c r="DA32" s="28">
        <f>IF(ISNA(VLOOKUP(CX32,Feiertage!$A:$A,1,FALSE))=TRUE,0,1)</f>
        <v>0</v>
      </c>
      <c r="DB32" s="28">
        <f>IF(ISNA(VLOOKUP(CX32,Termine!$A:$A,1,FALSE))=TRUE,0,1)</f>
        <v>0</v>
      </c>
      <c r="DC32" s="28" t="str">
        <f>IF(ISNA(VLOOKUP(CX32,Aufenthalte!$A:$B,2,FALSE))=TRUE,"",VLOOKUP(CX32,Aufenthalte!$A:$B,2,FALSE))</f>
        <v>Mama</v>
      </c>
      <c r="DD32" s="25">
        <f t="shared" si="29"/>
        <v>30</v>
      </c>
      <c r="DE32" s="26">
        <f t="shared" si="30"/>
        <v>43403</v>
      </c>
      <c r="DF32" s="24" t="str">
        <f t="shared" si="31"/>
        <v/>
      </c>
      <c r="DG32" s="54" t="str">
        <f>IF(ISNA(VLOOKUP(CX32,Aufenthalte!$A:$G,7,FALSE))=TRUE,"",VLOOKUP(CX32,Aufenthalte!$A:$G,7,FALSE))</f>
        <v xml:space="preserve">
</v>
      </c>
      <c r="DH32" s="7" t="str">
        <f t="shared" si="66"/>
        <v/>
      </c>
      <c r="DI32" s="27">
        <f>DATE(Konfiguration!$B$2,11,$B32)</f>
        <v>43434</v>
      </c>
      <c r="DJ32" s="28">
        <f t="shared" si="67"/>
        <v>0</v>
      </c>
      <c r="DK32" s="28">
        <f>IF(ISNA(VLOOKUP(DI32,Ferien!$A:$A,1,FALSE))=TRUE,0,1)</f>
        <v>0</v>
      </c>
      <c r="DL32" s="28">
        <f>IF(ISNA(VLOOKUP(DI32,Feiertage!$A:$A,1,FALSE))=TRUE,0,1)</f>
        <v>0</v>
      </c>
      <c r="DM32" s="28">
        <f>IF(ISNA(VLOOKUP(DI32,Termine!$A:$A,1,FALSE))=TRUE,0,1)</f>
        <v>0</v>
      </c>
      <c r="DN32" s="28" t="str">
        <f>IF(ISNA(VLOOKUP(DI32,Aufenthalte!$A:$B,2,FALSE))=TRUE,"",VLOOKUP(DI32,Aufenthalte!$A:$B,2,FALSE))</f>
        <v>Mama</v>
      </c>
      <c r="DO32" s="25">
        <f t="shared" si="33"/>
        <v>30</v>
      </c>
      <c r="DP32" s="26">
        <f t="shared" si="34"/>
        <v>43434</v>
      </c>
      <c r="DQ32" s="24" t="str">
        <f t="shared" si="35"/>
        <v/>
      </c>
      <c r="DR32" s="54" t="str">
        <f>IF(ISNA(VLOOKUP(DI32,Aufenthalte!$A:$G,7,FALSE))=TRUE,"",VLOOKUP(DI32,Aufenthalte!$A:$G,7,FALSE))</f>
        <v xml:space="preserve">
</v>
      </c>
      <c r="DS32" s="7" t="str">
        <f t="shared" si="68"/>
        <v/>
      </c>
      <c r="DT32" s="27">
        <f>DATE(Konfiguration!$B$2,12,$B32)</f>
        <v>43464</v>
      </c>
      <c r="DU32" s="28">
        <f t="shared" si="69"/>
        <v>1</v>
      </c>
      <c r="DV32" s="28">
        <f>IF(ISNA(VLOOKUP(DT32,Ferien!$A:$A,1,FALSE))=TRUE,0,1)</f>
        <v>1</v>
      </c>
      <c r="DW32" s="28">
        <f>IF(ISNA(VLOOKUP(DT32,Feiertage!$A:$A,1,FALSE))=TRUE,0,1)</f>
        <v>0</v>
      </c>
      <c r="DX32" s="28">
        <f>IF(ISNA(VLOOKUP(DT32,Termine!$A:$A,1,FALSE))=TRUE,0,1)</f>
        <v>0</v>
      </c>
      <c r="DY32" s="28" t="str">
        <f>IF(ISNA(VLOOKUP(DT32,Aufenthalte!$A:$B,2,FALSE))=TRUE,"",VLOOKUP(DT32,Aufenthalte!$A:$B,2,FALSE))</f>
        <v>Mama</v>
      </c>
      <c r="DZ32" s="25">
        <f t="shared" si="37"/>
        <v>30</v>
      </c>
      <c r="EA32" s="26">
        <f t="shared" si="38"/>
        <v>43464</v>
      </c>
      <c r="EB32" s="24" t="str">
        <f t="shared" si="39"/>
        <v/>
      </c>
      <c r="EC32" s="54" t="str">
        <f>IF(ISNA(VLOOKUP(DT32,Aufenthalte!$A:$G,7,FALSE))=TRUE,"",VLOOKUP(DT32,Aufenthalte!$A:$G,7,FALSE))</f>
        <v xml:space="preserve">
</v>
      </c>
      <c r="ED32" s="7" t="str">
        <f t="shared" si="70"/>
        <v/>
      </c>
      <c r="EE32" s="10"/>
      <c r="EF32" s="48"/>
      <c r="EG32" s="48"/>
      <c r="EH32" s="48"/>
      <c r="EI32" s="48"/>
      <c r="EJ32" s="48"/>
      <c r="EK32" s="48"/>
      <c r="EL32" s="48"/>
      <c r="EM32" s="9"/>
      <c r="EN32" s="122"/>
      <c r="EO32" s="123"/>
    </row>
    <row r="33" spans="2:145" s="1" customFormat="1" ht="21" customHeight="1">
      <c r="B33" s="8">
        <v>31</v>
      </c>
      <c r="C33" s="27">
        <f>DATE(Konfiguration!$B$2,1,$B33)</f>
        <v>43131</v>
      </c>
      <c r="D33" s="28">
        <f t="shared" si="45"/>
        <v>0</v>
      </c>
      <c r="E33" s="28">
        <f>IF(ISNA(VLOOKUP(C33,Ferien!$A:$A,1,FALSE))=TRUE,0,1)</f>
        <v>0</v>
      </c>
      <c r="F33" s="28">
        <f>IF(ISNA(VLOOKUP(C33,Feiertage!$A:$A,1,FALSE))=TRUE,0,1)</f>
        <v>0</v>
      </c>
      <c r="G33" s="28">
        <f>IF(ISNA(VLOOKUP(C33,Termine!$A:$A,1,FALSE))=TRUE,0,1)</f>
        <v>0</v>
      </c>
      <c r="H33" s="28" t="str">
        <f>IF(ISNA(VLOOKUP(C33,Aufenthalte!$A:$B,2,FALSE))=TRUE,"",VLOOKUP(C33,Aufenthalte!$A:$B,2,FALSE))</f>
        <v>Mama</v>
      </c>
      <c r="I33" s="25">
        <f t="shared" si="46"/>
        <v>31</v>
      </c>
      <c r="J33" s="26">
        <f t="shared" si="0"/>
        <v>43131</v>
      </c>
      <c r="K33" s="24" t="str">
        <f t="shared" si="47"/>
        <v/>
      </c>
      <c r="L33" s="54" t="str">
        <f>IF(ISNA(VLOOKUP(C33,Aufenthalte!$A:$G,7,FALSE))=TRUE,"",VLOOKUP(C33,Aufenthalte!$A:$G,7,FALSE))</f>
        <v xml:space="preserve">
</v>
      </c>
      <c r="M33" s="7" t="str">
        <f t="shared" si="77"/>
        <v/>
      </c>
      <c r="N33" s="45"/>
      <c r="O33" s="43"/>
      <c r="P33" s="43"/>
      <c r="Q33" s="43"/>
      <c r="R33" s="44"/>
      <c r="S33" s="28" t="str">
        <f>IF(ISNA(VLOOKUP(N33,Aufenthalte!$A:$B,2,FALSE))=TRUE,"",VLOOKUP(N33,Aufenthalte!$A:$B,2,FALSE))</f>
        <v/>
      </c>
      <c r="T33" s="43"/>
      <c r="U33" s="23"/>
      <c r="V33" s="24" t="str">
        <f t="shared" si="2"/>
        <v/>
      </c>
      <c r="W33" s="18"/>
      <c r="X33" s="19"/>
      <c r="Y33" s="46">
        <f>DATE(Konfiguration!$B$2,3,$B33)</f>
        <v>43190</v>
      </c>
      <c r="Z33" s="28">
        <f t="shared" si="73"/>
        <v>1</v>
      </c>
      <c r="AA33" s="28">
        <f>IF(ISNA(VLOOKUP(Y33,Ferien!$A:$A,1,FALSE))=TRUE,0,1)</f>
        <v>1</v>
      </c>
      <c r="AB33" s="28">
        <f>IF(ISNA(VLOOKUP(Y33,Feiertage!$A:$A,1,FALSE))=TRUE,0,1)</f>
        <v>0</v>
      </c>
      <c r="AC33" s="28">
        <f>IF(ISNA(VLOOKUP(Y33,Termine!$A:$A,1,FALSE))=TRUE,0,1)</f>
        <v>0</v>
      </c>
      <c r="AD33" s="28" t="str">
        <f>IF(ISNA(VLOOKUP(Y33,Aufenthalte!$A:$B,2,FALSE))=TRUE,"",VLOOKUP(Y33,Aufenthalte!$A:$B,2,FALSE))</f>
        <v>Mama</v>
      </c>
      <c r="AE33" s="25">
        <f t="shared" si="74"/>
        <v>31</v>
      </c>
      <c r="AF33" s="26">
        <f t="shared" si="75"/>
        <v>43190</v>
      </c>
      <c r="AG33" s="24" t="str">
        <f t="shared" si="76"/>
        <v/>
      </c>
      <c r="AH33" s="54" t="str">
        <f>IF(ISNA(VLOOKUP(Y33,Aufenthalte!$A:$G,7,FALSE))=TRUE,"",VLOOKUP(Y33,Aufenthalte!$A:$G,7,FALSE))</f>
        <v xml:space="preserve">
</v>
      </c>
      <c r="AI33" s="7" t="str">
        <f t="shared" si="52"/>
        <v/>
      </c>
      <c r="AJ33" s="16"/>
      <c r="AK33" s="17"/>
      <c r="AL33" s="17"/>
      <c r="AM33" s="17"/>
      <c r="AN33" s="17"/>
      <c r="AO33" s="17"/>
      <c r="AP33" s="17"/>
      <c r="AQ33" s="17"/>
      <c r="AR33" s="24" t="str">
        <f t="shared" si="7"/>
        <v/>
      </c>
      <c r="AS33" s="18"/>
      <c r="AT33" s="19"/>
      <c r="AU33" s="27">
        <f>DATE(Konfiguration!$B$2,5,$B33)</f>
        <v>43251</v>
      </c>
      <c r="AV33" s="28">
        <f t="shared" si="55"/>
        <v>0</v>
      </c>
      <c r="AW33" s="28">
        <f>IF(ISNA(VLOOKUP(AU33,Ferien!$A:$A,1,FALSE))=TRUE,0,1)</f>
        <v>0</v>
      </c>
      <c r="AX33" s="28">
        <f>IF(ISNA(VLOOKUP(AU33,Feiertage!$A:$A,1,FALSE))=TRUE,0,1)</f>
        <v>1</v>
      </c>
      <c r="AY33" s="28">
        <f>IF(ISNA(VLOOKUP(AU33,Termine!$A:$A,1,FALSE))=TRUE,0,1)</f>
        <v>0</v>
      </c>
      <c r="AZ33" s="28" t="str">
        <f>IF(ISNA(VLOOKUP(AU33,Aufenthalte!$A:$B,2,FALSE))=TRUE,"",VLOOKUP(AU33,Aufenthalte!$A:$B,2,FALSE))</f>
        <v>Mama</v>
      </c>
      <c r="BA33" s="25">
        <f t="shared" si="9"/>
        <v>31</v>
      </c>
      <c r="BB33" s="26">
        <f t="shared" si="10"/>
        <v>43251</v>
      </c>
      <c r="BC33" s="24" t="str">
        <f t="shared" si="11"/>
        <v/>
      </c>
      <c r="BD33" s="54" t="str">
        <f>IF(ISNA(VLOOKUP(AU33,Aufenthalte!$A:$G,7,FALSE))=TRUE,"",VLOOKUP(AU33,Aufenthalte!$A:$G,7,FALSE))</f>
        <v xml:space="preserve">
</v>
      </c>
      <c r="BE33" s="7" t="str">
        <f t="shared" si="56"/>
        <v/>
      </c>
      <c r="BF33" s="16"/>
      <c r="BG33" s="17"/>
      <c r="BH33" s="17"/>
      <c r="BI33" s="17"/>
      <c r="BJ33" s="17"/>
      <c r="BK33" s="17"/>
      <c r="BL33" s="17"/>
      <c r="BM33" s="17"/>
      <c r="BN33" s="17"/>
      <c r="BO33" s="18"/>
      <c r="BP33" s="19"/>
      <c r="BQ33" s="27">
        <f>DATE(Konfiguration!$B$2,7,$B33)</f>
        <v>43312</v>
      </c>
      <c r="BR33" s="28">
        <f t="shared" si="59"/>
        <v>0</v>
      </c>
      <c r="BS33" s="28">
        <f>IF(ISNA(VLOOKUP(BQ33,Ferien!$A:$A,1,FALSE))=TRUE,0,1)</f>
        <v>1</v>
      </c>
      <c r="BT33" s="28">
        <f>IF(ISNA(VLOOKUP(BQ33,Feiertage!$A:$A,1,FALSE))=TRUE,0,1)</f>
        <v>0</v>
      </c>
      <c r="BU33" s="28">
        <f>IF(ISNA(VLOOKUP(BQ33,Termine!$A:$A,1,FALSE))=TRUE,0,1)</f>
        <v>0</v>
      </c>
      <c r="BV33" s="28" t="str">
        <f>IF(ISNA(VLOOKUP(BQ33,Aufenthalte!$A:$B,2,FALSE))=TRUE,"",VLOOKUP(BQ33,Aufenthalte!$A:$B,2,FALSE))</f>
        <v>Mama</v>
      </c>
      <c r="BW33" s="25">
        <f t="shared" si="17"/>
        <v>31</v>
      </c>
      <c r="BX33" s="26">
        <f t="shared" si="18"/>
        <v>43312</v>
      </c>
      <c r="BY33" s="24" t="str">
        <f t="shared" si="19"/>
        <v/>
      </c>
      <c r="BZ33" s="54" t="str">
        <f>IF(ISNA(VLOOKUP(BQ33,Aufenthalte!$A:$G,7,FALSE))=TRUE,"",VLOOKUP(BQ33,Aufenthalte!$A:$G,7,FALSE))</f>
        <v xml:space="preserve">
</v>
      </c>
      <c r="CA33" s="7" t="str">
        <f t="shared" si="60"/>
        <v/>
      </c>
      <c r="CB33" s="27">
        <f>DATE(Konfiguration!$B$2,8,$B33)</f>
        <v>43343</v>
      </c>
      <c r="CC33" s="28">
        <f t="shared" si="61"/>
        <v>0</v>
      </c>
      <c r="CD33" s="28">
        <f>IF(ISNA(VLOOKUP(CB33,Ferien!$A:$A,1,FALSE))=TRUE,0,1)</f>
        <v>0</v>
      </c>
      <c r="CE33" s="28">
        <f>IF(ISNA(VLOOKUP(CB33,Feiertage!$A:$A,1,FALSE))=TRUE,0,1)</f>
        <v>0</v>
      </c>
      <c r="CF33" s="28">
        <f>IF(ISNA(VLOOKUP(CB33,Termine!$A:$A,1,FALSE))=TRUE,0,1)</f>
        <v>0</v>
      </c>
      <c r="CG33" s="28" t="str">
        <f>IF(ISNA(VLOOKUP(CB33,Aufenthalte!$A:$B,2,FALSE))=TRUE,"",VLOOKUP(CB33,Aufenthalte!$A:$B,2,FALSE))</f>
        <v>Mama</v>
      </c>
      <c r="CH33" s="25">
        <f t="shared" si="21"/>
        <v>31</v>
      </c>
      <c r="CI33" s="26">
        <f t="shared" si="22"/>
        <v>43343</v>
      </c>
      <c r="CJ33" s="24" t="str">
        <f t="shared" si="23"/>
        <v/>
      </c>
      <c r="CK33" s="54" t="str">
        <f>IF(ISNA(VLOOKUP(CB33,Aufenthalte!$A:$G,7,FALSE))=TRUE,"",VLOOKUP(CB33,Aufenthalte!$A:$G,7,FALSE))</f>
        <v xml:space="preserve">
</v>
      </c>
      <c r="CL33" s="7" t="str">
        <f t="shared" si="62"/>
        <v/>
      </c>
      <c r="CM33" s="16"/>
      <c r="CN33" s="17"/>
      <c r="CO33" s="17"/>
      <c r="CP33" s="17"/>
      <c r="CQ33" s="17"/>
      <c r="CR33" s="17"/>
      <c r="CS33" s="17"/>
      <c r="CT33" s="17"/>
      <c r="CU33" s="17"/>
      <c r="CV33" s="18"/>
      <c r="CW33" s="19"/>
      <c r="CX33" s="27">
        <f>DATE(Konfiguration!$B$2,10,$B33)</f>
        <v>43404</v>
      </c>
      <c r="CY33" s="28">
        <f t="shared" si="65"/>
        <v>0</v>
      </c>
      <c r="CZ33" s="28">
        <f>IF(ISNA(VLOOKUP(CX33,Ferien!$A:$A,1,FALSE))=TRUE,0,1)</f>
        <v>0</v>
      </c>
      <c r="DA33" s="28">
        <f>IF(ISNA(VLOOKUP(CX33,Feiertage!$A:$A,1,FALSE))=TRUE,0,1)</f>
        <v>0</v>
      </c>
      <c r="DB33" s="28">
        <f>IF(ISNA(VLOOKUP(CX33,Termine!$A:$A,1,FALSE))=TRUE,0,1)</f>
        <v>0</v>
      </c>
      <c r="DC33" s="28" t="str">
        <f>IF(ISNA(VLOOKUP(CX33,Aufenthalte!$A:$B,2,FALSE))=TRUE,"",VLOOKUP(CX33,Aufenthalte!$A:$B,2,FALSE))</f>
        <v>Mama</v>
      </c>
      <c r="DD33" s="25">
        <f t="shared" si="29"/>
        <v>31</v>
      </c>
      <c r="DE33" s="26">
        <f t="shared" si="30"/>
        <v>43404</v>
      </c>
      <c r="DF33" s="24" t="str">
        <f t="shared" si="31"/>
        <v/>
      </c>
      <c r="DG33" s="54" t="str">
        <f>IF(ISNA(VLOOKUP(CX33,Aufenthalte!$A:$G,7,FALSE))=TRUE,"",VLOOKUP(CX33,Aufenthalte!$A:$G,7,FALSE))</f>
        <v xml:space="preserve">
</v>
      </c>
      <c r="DH33" s="7" t="str">
        <f t="shared" si="66"/>
        <v/>
      </c>
      <c r="DI33" s="16"/>
      <c r="DJ33" s="17"/>
      <c r="DK33" s="17"/>
      <c r="DL33" s="17"/>
      <c r="DM33" s="17"/>
      <c r="DN33" s="17"/>
      <c r="DO33" s="17"/>
      <c r="DP33" s="17"/>
      <c r="DQ33" s="17"/>
      <c r="DR33" s="18"/>
      <c r="DS33" s="19"/>
      <c r="DT33" s="27">
        <f>DATE(Konfiguration!$B$2,12,$B33)</f>
        <v>43465</v>
      </c>
      <c r="DU33" s="28">
        <f t="shared" si="69"/>
        <v>0</v>
      </c>
      <c r="DV33" s="28">
        <f>IF(ISNA(VLOOKUP(DT33,Ferien!$A:$A,1,FALSE))=TRUE,0,1)</f>
        <v>1</v>
      </c>
      <c r="DW33" s="28">
        <f>IF(ISNA(VLOOKUP(DT33,Feiertage!$A:$A,1,FALSE))=TRUE,0,1)</f>
        <v>0</v>
      </c>
      <c r="DX33" s="28">
        <f>IF(ISNA(VLOOKUP(DT33,Termine!$A:$A,1,FALSE))=TRUE,0,1)</f>
        <v>0</v>
      </c>
      <c r="DY33" s="28" t="str">
        <f>IF(ISNA(VLOOKUP(DT33,Aufenthalte!$A:$B,2,FALSE))=TRUE,"",VLOOKUP(DT33,Aufenthalte!$A:$B,2,FALSE))</f>
        <v>Mama</v>
      </c>
      <c r="DZ33" s="25">
        <f t="shared" si="37"/>
        <v>31</v>
      </c>
      <c r="EA33" s="26">
        <f t="shared" si="38"/>
        <v>43465</v>
      </c>
      <c r="EB33" s="24" t="str">
        <f t="shared" si="39"/>
        <v/>
      </c>
      <c r="EC33" s="54" t="str">
        <f>IF(ISNA(VLOOKUP(DT33,Aufenthalte!$A:$G,7,FALSE))=TRUE,"",VLOOKUP(DT33,Aufenthalte!$A:$G,7,FALSE))</f>
        <v xml:space="preserve">
</v>
      </c>
      <c r="ED33" s="7">
        <f t="shared" si="70"/>
        <v>53</v>
      </c>
      <c r="EE33" s="10"/>
      <c r="EF33" s="48"/>
      <c r="EG33" s="48"/>
      <c r="EH33" s="48"/>
      <c r="EI33" s="48"/>
      <c r="EJ33" s="48"/>
      <c r="EK33" s="48"/>
      <c r="EL33" s="48"/>
      <c r="EM33" s="9"/>
      <c r="EN33" s="122"/>
      <c r="EO33" s="123"/>
    </row>
    <row r="34" spans="2:145" ht="10" customHeight="1">
      <c r="B34" s="12"/>
      <c r="C34" s="12"/>
      <c r="D34" s="12"/>
      <c r="E34" s="12"/>
      <c r="F34" s="12"/>
      <c r="G34" s="12"/>
      <c r="H34" s="12"/>
      <c r="I34" s="12"/>
      <c r="J34" s="4"/>
      <c r="K34" s="4"/>
      <c r="L34" s="4"/>
      <c r="M34" s="4"/>
      <c r="N34" s="33"/>
      <c r="O34" s="4"/>
      <c r="P34" s="4"/>
      <c r="Q34" s="4"/>
      <c r="R34" s="4"/>
      <c r="S34" s="4"/>
      <c r="T34" s="4"/>
      <c r="U34" s="4"/>
      <c r="V34" s="4"/>
      <c r="W34" s="4"/>
      <c r="X34" s="4"/>
      <c r="Y34" s="5"/>
      <c r="Z34" s="5"/>
      <c r="AA34" s="5"/>
      <c r="AB34" s="5"/>
      <c r="AC34" s="5"/>
      <c r="AD34" s="5"/>
      <c r="AE34" s="5"/>
      <c r="AF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6"/>
      <c r="ED34" s="5"/>
      <c r="EE34" s="5"/>
      <c r="EF34" s="5"/>
      <c r="EG34" s="5"/>
      <c r="EH34" s="5"/>
      <c r="EI34" s="5"/>
      <c r="EJ34" s="5"/>
      <c r="EK34" s="5"/>
      <c r="EL34" s="5"/>
      <c r="EM34" s="5"/>
      <c r="EN34" s="6"/>
    </row>
    <row r="35" spans="2:145">
      <c r="C35" s="21"/>
      <c r="D35" s="21"/>
      <c r="E35" s="21"/>
      <c r="I35" s="21"/>
      <c r="J35" s="20"/>
      <c r="K35" s="20" t="s">
        <v>14</v>
      </c>
      <c r="L35" s="21"/>
      <c r="M35" s="21"/>
      <c r="N35" s="21"/>
      <c r="O35" s="21"/>
      <c r="P35" s="21"/>
      <c r="Q35" s="21"/>
      <c r="R35" s="21"/>
      <c r="S35" s="21"/>
      <c r="T35" s="21"/>
      <c r="AC35" s="21"/>
      <c r="AD35" s="21"/>
      <c r="AE35" s="20" t="str">
        <f>"Feiertage " &amp;  Konfiguration!$B$2 &amp; ":"</f>
        <v>Feiertage 2018:</v>
      </c>
      <c r="AF35" s="20"/>
      <c r="AG35" s="21"/>
      <c r="AH35" s="21"/>
      <c r="AI35" s="21"/>
      <c r="AK35" s="20"/>
      <c r="AL35" s="20"/>
      <c r="AM35" s="20"/>
      <c r="AN35" s="20"/>
      <c r="AO35" s="20"/>
      <c r="BG35" s="20"/>
      <c r="BH35" s="20"/>
      <c r="BI35" s="20"/>
      <c r="BJ35" s="20"/>
      <c r="BK35" s="20"/>
      <c r="BL35" s="20" t="str">
        <f>"Sonstige Termine " &amp;  Konfiguration!$B$2 &amp; ":"</f>
        <v>Sonstige Termine 2018:</v>
      </c>
      <c r="BM35" s="20"/>
      <c r="BN35" s="21"/>
      <c r="BO35" s="21"/>
      <c r="BP35" s="21"/>
      <c r="CU35" s="20" t="s">
        <v>15</v>
      </c>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row>
    <row r="36" spans="2:145">
      <c r="B36" s="1"/>
      <c r="C36" s="1"/>
      <c r="D36" s="1"/>
      <c r="E36" s="1"/>
      <c r="I36" s="1"/>
      <c r="J36" s="1"/>
      <c r="K36" s="1"/>
      <c r="L36" s="1"/>
      <c r="M36" s="1"/>
      <c r="N36" s="1"/>
      <c r="O36" s="1"/>
      <c r="P36" s="1"/>
      <c r="Q36" s="1"/>
      <c r="R36" s="1"/>
      <c r="S36" s="1"/>
      <c r="T36" s="1"/>
      <c r="AC36" s="1"/>
      <c r="AD36" s="1"/>
      <c r="AE36" s="1"/>
      <c r="AF36" s="1"/>
      <c r="AG36" s="1"/>
      <c r="AH36" s="1"/>
      <c r="AI36" s="1"/>
      <c r="AK36" s="1"/>
      <c r="AL36" s="1"/>
      <c r="AM36" s="1"/>
      <c r="AN36" s="1"/>
      <c r="AO36" s="1"/>
      <c r="BG36" s="1"/>
      <c r="BH36" s="1"/>
      <c r="BI36" s="1"/>
      <c r="BJ36" s="1"/>
      <c r="BK36" s="1"/>
      <c r="BL36" s="1"/>
      <c r="BM36" s="1"/>
      <c r="BN36" s="1"/>
      <c r="BO36" s="1"/>
      <c r="BP36" s="1"/>
      <c r="CU36" s="1"/>
      <c r="CV36" s="1"/>
      <c r="CW36" s="1"/>
      <c r="CX36" s="1"/>
      <c r="CY36" s="1"/>
      <c r="CZ36" s="1"/>
      <c r="DA36" s="1"/>
      <c r="DB36" s="1"/>
      <c r="DC36" s="1"/>
      <c r="DD36" s="1"/>
      <c r="DE36" s="1"/>
      <c r="DF36" s="1"/>
      <c r="DG36" s="21"/>
      <c r="DH36" s="21"/>
      <c r="DI36" s="21"/>
      <c r="DJ36" s="21"/>
      <c r="DK36" s="21"/>
      <c r="DL36" s="21"/>
      <c r="DM36" s="21"/>
      <c r="DN36" s="21"/>
      <c r="DO36" s="21"/>
      <c r="DP36" s="21"/>
      <c r="DQ36" s="21"/>
      <c r="DR36" s="21"/>
      <c r="DS36" s="21"/>
    </row>
    <row r="37" spans="2:145">
      <c r="B37" s="1"/>
      <c r="I37" s="38"/>
      <c r="K37" s="92" t="s">
        <v>16</v>
      </c>
      <c r="L37" s="92"/>
      <c r="M37" s="92"/>
      <c r="N37" s="92"/>
      <c r="O37" s="92"/>
      <c r="P37" s="92"/>
      <c r="Q37" s="92"/>
      <c r="R37" s="92"/>
      <c r="S37" s="92"/>
      <c r="T37" s="92"/>
      <c r="AC37" s="1"/>
      <c r="AD37" s="1"/>
      <c r="AE37" s="116">
        <f>IF(Feiertage!$A2&lt;&gt;"",Feiertage!$A2,"")</f>
        <v>43101</v>
      </c>
      <c r="AF37" s="117"/>
      <c r="AG37" s="50"/>
      <c r="AH37" s="118" t="str">
        <f>IF(Feiertage!$B2&lt;&gt;"",Feiertage!$B2,"")</f>
        <v>Neujahr</v>
      </c>
      <c r="AI37" s="118"/>
      <c r="AJ37" s="118"/>
      <c r="AK37" s="118"/>
      <c r="AL37" s="118"/>
      <c r="AM37" s="118"/>
      <c r="AN37" s="118"/>
      <c r="AO37" s="118"/>
      <c r="AP37" s="118"/>
      <c r="AQ37" s="118"/>
      <c r="AR37" s="118"/>
      <c r="AS37" s="118"/>
      <c r="AT37" s="118"/>
      <c r="AU37" s="118"/>
      <c r="AV37" s="118"/>
      <c r="AW37" s="118"/>
      <c r="AX37" s="118"/>
      <c r="AY37" s="118"/>
      <c r="AZ37" s="118"/>
      <c r="BA37" s="118"/>
      <c r="BB37" s="118"/>
      <c r="BC37" s="118"/>
      <c r="BD37" s="118"/>
      <c r="BG37" s="50"/>
      <c r="BH37" s="50"/>
      <c r="BI37" s="50"/>
      <c r="BJ37" s="50"/>
      <c r="BK37" s="50"/>
      <c r="BL37" s="116">
        <f>IF(Termine!$A2&lt;&gt;"",Termine!$A2,"")</f>
        <v>43230</v>
      </c>
      <c r="BM37" s="117"/>
      <c r="BN37" s="50"/>
      <c r="BO37" s="118" t="str">
        <f>IF(Termine!$B2&lt;&gt;"",Termine!$B2,"")</f>
        <v>Vatertag</v>
      </c>
      <c r="BP37" s="118"/>
      <c r="BQ37" s="118"/>
      <c r="BR37" s="118"/>
      <c r="BS37" s="118"/>
      <c r="BT37" s="118"/>
      <c r="BU37" s="118"/>
      <c r="BV37" s="118"/>
      <c r="BW37" s="118"/>
      <c r="BX37" s="118"/>
      <c r="BY37" s="118"/>
      <c r="BZ37" s="118"/>
      <c r="CA37" s="118"/>
      <c r="CB37" s="118"/>
      <c r="CC37" s="118"/>
      <c r="CD37" s="118"/>
      <c r="CE37" s="118"/>
      <c r="CF37" s="118"/>
      <c r="CG37" s="118"/>
      <c r="CH37" s="118"/>
      <c r="CI37" s="118"/>
      <c r="CJ37" s="118"/>
      <c r="CK37" s="118"/>
      <c r="CL37" s="118"/>
      <c r="CU37" s="119" t="str">
        <f>IF(Vereinbarungen!$A2&lt;&gt;"",Vereinbarungen!$A2,"")</f>
        <v>1) Lukas ruft bei Bedarf Papa oder Mama an</v>
      </c>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row>
    <row r="38" spans="2:145" ht="13" customHeight="1">
      <c r="B38" s="1"/>
      <c r="I38" s="39"/>
      <c r="K38" s="128" t="s">
        <v>69</v>
      </c>
      <c r="L38" s="128"/>
      <c r="M38" s="128"/>
      <c r="N38" s="128"/>
      <c r="O38" s="128"/>
      <c r="P38" s="128"/>
      <c r="Q38" s="128"/>
      <c r="R38" s="128"/>
      <c r="S38" s="128"/>
      <c r="T38" s="128"/>
      <c r="U38" s="129"/>
      <c r="V38" s="129"/>
      <c r="W38" s="129"/>
      <c r="AC38" s="1"/>
      <c r="AD38" s="1"/>
      <c r="AE38" s="116">
        <f>IF(Feiertage!$A3&lt;&gt;"",Feiertage!$A3,"")</f>
        <v>43189</v>
      </c>
      <c r="AF38" s="117"/>
      <c r="AG38" s="50"/>
      <c r="AH38" s="118" t="str">
        <f>IF(Feiertage!$B3&lt;&gt;"",Feiertage!$B3,"")</f>
        <v>Karfreitag</v>
      </c>
      <c r="AI38" s="118"/>
      <c r="AJ38" s="118"/>
      <c r="AK38" s="118"/>
      <c r="AL38" s="118"/>
      <c r="AM38" s="118"/>
      <c r="AN38" s="118"/>
      <c r="AO38" s="118"/>
      <c r="AP38" s="118"/>
      <c r="AQ38" s="118"/>
      <c r="AR38" s="118"/>
      <c r="AS38" s="118"/>
      <c r="AT38" s="118"/>
      <c r="AU38" s="118"/>
      <c r="AV38" s="118"/>
      <c r="AW38" s="118"/>
      <c r="AX38" s="118"/>
      <c r="AY38" s="118"/>
      <c r="AZ38" s="118"/>
      <c r="BA38" s="118"/>
      <c r="BB38" s="118"/>
      <c r="BC38" s="118"/>
      <c r="BD38" s="118"/>
      <c r="BG38" s="50"/>
      <c r="BH38" s="50"/>
      <c r="BI38" s="50"/>
      <c r="BJ38" s="50"/>
      <c r="BK38" s="50"/>
      <c r="BL38" s="116">
        <f>IF(Termine!$A3&lt;&gt;"",Termine!$A3,"")</f>
        <v>43233</v>
      </c>
      <c r="BM38" s="117"/>
      <c r="BN38" s="50"/>
      <c r="BO38" s="118" t="str">
        <f>IF(Termine!$B3&lt;&gt;"",Termine!$B3,"")</f>
        <v>Muttertag</v>
      </c>
      <c r="BP38" s="118"/>
      <c r="BQ38" s="118"/>
      <c r="BR38" s="118"/>
      <c r="BS38" s="118"/>
      <c r="BT38" s="118"/>
      <c r="BU38" s="118"/>
      <c r="BV38" s="118"/>
      <c r="BW38" s="118"/>
      <c r="BX38" s="118"/>
      <c r="BY38" s="118"/>
      <c r="BZ38" s="118"/>
      <c r="CA38" s="118"/>
      <c r="CB38" s="118"/>
      <c r="CC38" s="118"/>
      <c r="CD38" s="118"/>
      <c r="CE38" s="118"/>
      <c r="CF38" s="118"/>
      <c r="CG38" s="118"/>
      <c r="CH38" s="118"/>
      <c r="CI38" s="118"/>
      <c r="CJ38" s="118"/>
      <c r="CK38" s="118"/>
      <c r="CL38" s="118"/>
      <c r="CU38" s="119" t="str">
        <f>IF(Vereinbarungen!$A3&lt;&gt;"",Vereinbarungen!$A3,"")</f>
        <v>2) Papa und Mama können per What's App und SMS jederzeit mit Lukas in Kontakt treten</v>
      </c>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row>
    <row r="39" spans="2:145">
      <c r="B39" s="1"/>
      <c r="K39" s="128"/>
      <c r="L39" s="128"/>
      <c r="M39" s="128"/>
      <c r="N39" s="128"/>
      <c r="O39" s="128"/>
      <c r="P39" s="128"/>
      <c r="Q39" s="128"/>
      <c r="R39" s="128"/>
      <c r="S39" s="128"/>
      <c r="T39" s="128"/>
      <c r="U39" s="129"/>
      <c r="V39" s="129"/>
      <c r="W39" s="129"/>
      <c r="AC39" s="1"/>
      <c r="AD39" s="1"/>
      <c r="AE39" s="116">
        <f>IF(Feiertage!$A4&lt;&gt;"",Feiertage!$A4,"")</f>
        <v>43192</v>
      </c>
      <c r="AF39" s="117"/>
      <c r="AG39" s="50"/>
      <c r="AH39" s="118" t="str">
        <f>IF(Feiertage!$B4&lt;&gt;"",Feiertage!$B4,"")</f>
        <v>Ostermontag</v>
      </c>
      <c r="AI39" s="118"/>
      <c r="AJ39" s="118"/>
      <c r="AK39" s="118"/>
      <c r="AL39" s="118"/>
      <c r="AM39" s="118"/>
      <c r="AN39" s="118"/>
      <c r="AO39" s="118"/>
      <c r="AP39" s="118"/>
      <c r="AQ39" s="118"/>
      <c r="AR39" s="118"/>
      <c r="AS39" s="118"/>
      <c r="AT39" s="118"/>
      <c r="AU39" s="118"/>
      <c r="AV39" s="118"/>
      <c r="AW39" s="118"/>
      <c r="AX39" s="118"/>
      <c r="AY39" s="118"/>
      <c r="AZ39" s="118"/>
      <c r="BA39" s="118"/>
      <c r="BB39" s="118"/>
      <c r="BC39" s="118"/>
      <c r="BD39" s="118"/>
      <c r="BG39" s="50"/>
      <c r="BH39" s="50"/>
      <c r="BI39" s="50"/>
      <c r="BJ39" s="50"/>
      <c r="BK39" s="50"/>
      <c r="BL39" s="116">
        <f>IF(Termine!$A4&lt;&gt;"",Termine!$A4,"")</f>
        <v>43330</v>
      </c>
      <c r="BM39" s="117"/>
      <c r="BN39" s="50"/>
      <c r="BO39" s="118" t="str">
        <f>IF(Termine!$B4&lt;&gt;"",Termine!$B4,"")</f>
        <v>Geburtstag Lukas</v>
      </c>
      <c r="BP39" s="118"/>
      <c r="BQ39" s="118"/>
      <c r="BR39" s="118"/>
      <c r="BS39" s="118"/>
      <c r="BT39" s="118"/>
      <c r="BU39" s="118"/>
      <c r="BV39" s="118"/>
      <c r="BW39" s="118"/>
      <c r="BX39" s="118"/>
      <c r="BY39" s="118"/>
      <c r="BZ39" s="118"/>
      <c r="CA39" s="118"/>
      <c r="CB39" s="118"/>
      <c r="CC39" s="118"/>
      <c r="CD39" s="118"/>
      <c r="CE39" s="118"/>
      <c r="CF39" s="118"/>
      <c r="CG39" s="118"/>
      <c r="CH39" s="118"/>
      <c r="CI39" s="118"/>
      <c r="CJ39" s="118"/>
      <c r="CK39" s="118"/>
      <c r="CL39" s="118"/>
      <c r="CU39" s="119" t="str">
        <f>IF(Vereinbarungen!$A4&lt;&gt;"",Vereinbarungen!$A4,"")</f>
        <v/>
      </c>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row>
    <row r="40" spans="2:145">
      <c r="B40" s="1"/>
      <c r="K40" s="128"/>
      <c r="L40" s="128"/>
      <c r="M40" s="128"/>
      <c r="N40" s="128"/>
      <c r="O40" s="128"/>
      <c r="P40" s="128"/>
      <c r="Q40" s="128"/>
      <c r="R40" s="128"/>
      <c r="S40" s="128"/>
      <c r="T40" s="128"/>
      <c r="U40" s="129"/>
      <c r="V40" s="129"/>
      <c r="W40" s="129"/>
      <c r="AC40" s="1"/>
      <c r="AD40" s="1"/>
      <c r="AE40" s="116">
        <f>IF(Feiertage!$A5&lt;&gt;"",Feiertage!$A5,"")</f>
        <v>43221</v>
      </c>
      <c r="AF40" s="117"/>
      <c r="AG40" s="50"/>
      <c r="AH40" s="118" t="str">
        <f>IF(Feiertage!$B5&lt;&gt;"",Feiertage!$B5,"")</f>
        <v>Tag der Arbeit</v>
      </c>
      <c r="AI40" s="118"/>
      <c r="AJ40" s="118"/>
      <c r="AK40" s="118"/>
      <c r="AL40" s="118"/>
      <c r="AM40" s="118"/>
      <c r="AN40" s="118"/>
      <c r="AO40" s="118"/>
      <c r="AP40" s="118"/>
      <c r="AQ40" s="118"/>
      <c r="AR40" s="118"/>
      <c r="AS40" s="118"/>
      <c r="AT40" s="118"/>
      <c r="AU40" s="118"/>
      <c r="AV40" s="118"/>
      <c r="AW40" s="118"/>
      <c r="AX40" s="118"/>
      <c r="AY40" s="118"/>
      <c r="AZ40" s="118"/>
      <c r="BA40" s="118"/>
      <c r="BB40" s="118"/>
      <c r="BC40" s="118"/>
      <c r="BD40" s="118"/>
      <c r="BG40" s="50"/>
      <c r="BH40" s="50"/>
      <c r="BI40" s="50"/>
      <c r="BJ40" s="50"/>
      <c r="BK40" s="50"/>
      <c r="BL40" s="116">
        <f>IF(Termine!$A5&lt;&gt;"",Termine!$A5,"")</f>
        <v>43299</v>
      </c>
      <c r="BM40" s="117"/>
      <c r="BN40" s="50"/>
      <c r="BO40" s="118" t="str">
        <f>IF(Termine!$B5&lt;&gt;"",Termine!$B5,"")</f>
        <v>Geburtstag Papa</v>
      </c>
      <c r="BP40" s="118"/>
      <c r="BQ40" s="118"/>
      <c r="BR40" s="118"/>
      <c r="BS40" s="118"/>
      <c r="BT40" s="118"/>
      <c r="BU40" s="118"/>
      <c r="BV40" s="118"/>
      <c r="BW40" s="118"/>
      <c r="BX40" s="118"/>
      <c r="BY40" s="118"/>
      <c r="BZ40" s="118"/>
      <c r="CA40" s="118"/>
      <c r="CB40" s="118"/>
      <c r="CC40" s="118"/>
      <c r="CD40" s="118"/>
      <c r="CE40" s="118"/>
      <c r="CF40" s="118"/>
      <c r="CG40" s="118"/>
      <c r="CH40" s="118"/>
      <c r="CI40" s="118"/>
      <c r="CJ40" s="118"/>
      <c r="CK40" s="118"/>
      <c r="CL40" s="118"/>
      <c r="CU40" s="119" t="str">
        <f>IF(Vereinbarungen!$A5&lt;&gt;"",Vereinbarungen!$A5,"")</f>
        <v/>
      </c>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row>
    <row r="41" spans="2:145">
      <c r="B41" s="1"/>
      <c r="I41" s="40"/>
      <c r="K41" s="92" t="s">
        <v>17</v>
      </c>
      <c r="L41" s="92"/>
      <c r="M41" s="92"/>
      <c r="N41" s="92"/>
      <c r="O41" s="92"/>
      <c r="P41" s="92"/>
      <c r="Q41" s="92"/>
      <c r="R41" s="92"/>
      <c r="S41" s="92"/>
      <c r="T41" s="92"/>
      <c r="AC41" s="1"/>
      <c r="AD41" s="1"/>
      <c r="AE41" s="116">
        <f>IF(Feiertage!$A6&lt;&gt;"",Feiertage!$A6,"")</f>
        <v>43230</v>
      </c>
      <c r="AF41" s="117"/>
      <c r="AG41" s="50"/>
      <c r="AH41" s="118" t="str">
        <f>IF(Feiertage!$B6&lt;&gt;"",Feiertage!$B6,"")</f>
        <v>Christi Himmelfahrt</v>
      </c>
      <c r="AI41" s="118"/>
      <c r="AJ41" s="118"/>
      <c r="AK41" s="118"/>
      <c r="AL41" s="118"/>
      <c r="AM41" s="118"/>
      <c r="AN41" s="118"/>
      <c r="AO41" s="118"/>
      <c r="AP41" s="118"/>
      <c r="AQ41" s="118"/>
      <c r="AR41" s="118"/>
      <c r="AS41" s="118"/>
      <c r="AT41" s="118"/>
      <c r="AU41" s="118"/>
      <c r="AV41" s="118"/>
      <c r="AW41" s="118"/>
      <c r="AX41" s="118"/>
      <c r="AY41" s="118"/>
      <c r="AZ41" s="118"/>
      <c r="BA41" s="118"/>
      <c r="BB41" s="118"/>
      <c r="BC41" s="118"/>
      <c r="BD41" s="118"/>
      <c r="BG41" s="50"/>
      <c r="BH41" s="50"/>
      <c r="BI41" s="50"/>
      <c r="BJ41" s="50"/>
      <c r="BK41" s="50"/>
      <c r="BL41" s="116">
        <f>IF(Termine!$A6&lt;&gt;"",Termine!$A6,"")</f>
        <v>43361</v>
      </c>
      <c r="BM41" s="117"/>
      <c r="BN41" s="50"/>
      <c r="BO41" s="118" t="str">
        <f>IF(Termine!$B6&lt;&gt;"",Termine!$B6,"")</f>
        <v>Geburtstag Mama</v>
      </c>
      <c r="BP41" s="118"/>
      <c r="BQ41" s="118"/>
      <c r="BR41" s="118"/>
      <c r="BS41" s="118"/>
      <c r="BT41" s="118"/>
      <c r="BU41" s="118"/>
      <c r="BV41" s="118"/>
      <c r="BW41" s="118"/>
      <c r="BX41" s="118"/>
      <c r="BY41" s="118"/>
      <c r="BZ41" s="118"/>
      <c r="CA41" s="118"/>
      <c r="CB41" s="118"/>
      <c r="CC41" s="118"/>
      <c r="CD41" s="118"/>
      <c r="CE41" s="118"/>
      <c r="CF41" s="118"/>
      <c r="CG41" s="118"/>
      <c r="CH41" s="118"/>
      <c r="CI41" s="118"/>
      <c r="CJ41" s="118"/>
      <c r="CK41" s="118"/>
      <c r="CL41" s="118"/>
      <c r="CU41" s="119" t="str">
        <f>IF(Vereinbarungen!$A6&lt;&gt;"",Vereinbarungen!$A6,"")</f>
        <v/>
      </c>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row>
    <row r="42" spans="2:145">
      <c r="B42" s="1"/>
      <c r="I42" s="59" t="s">
        <v>58</v>
      </c>
      <c r="K42" s="92" t="s">
        <v>59</v>
      </c>
      <c r="L42" s="92"/>
      <c r="M42" s="92"/>
      <c r="N42" s="92"/>
      <c r="O42" s="92"/>
      <c r="P42" s="92"/>
      <c r="Q42" s="92"/>
      <c r="R42" s="92"/>
      <c r="S42" s="92"/>
      <c r="T42" s="92"/>
      <c r="AC42" s="1"/>
      <c r="AD42" s="1"/>
      <c r="AE42" s="116">
        <f>IF(Feiertage!$A7&lt;&gt;"",Feiertage!$A7,"")</f>
        <v>43241</v>
      </c>
      <c r="AF42" s="117"/>
      <c r="AG42" s="50"/>
      <c r="AH42" s="118" t="str">
        <f>IF(Feiertage!$B7&lt;&gt;"",Feiertage!$B7,"")</f>
        <v>Pfingstmontag</v>
      </c>
      <c r="AI42" s="118"/>
      <c r="AJ42" s="118"/>
      <c r="AK42" s="118"/>
      <c r="AL42" s="118"/>
      <c r="AM42" s="118"/>
      <c r="AN42" s="118"/>
      <c r="AO42" s="118"/>
      <c r="AP42" s="118"/>
      <c r="AQ42" s="118"/>
      <c r="AR42" s="118"/>
      <c r="AS42" s="118"/>
      <c r="AT42" s="118"/>
      <c r="AU42" s="118"/>
      <c r="AV42" s="118"/>
      <c r="AW42" s="118"/>
      <c r="AX42" s="118"/>
      <c r="AY42" s="118"/>
      <c r="AZ42" s="118"/>
      <c r="BA42" s="118"/>
      <c r="BB42" s="118"/>
      <c r="BC42" s="118"/>
      <c r="BD42" s="118"/>
      <c r="BG42" s="50"/>
      <c r="BH42" s="50"/>
      <c r="BI42" s="50"/>
      <c r="BJ42" s="50"/>
      <c r="BK42" s="50"/>
      <c r="BL42" s="116" t="str">
        <f>IF(Termine!$A7&lt;&gt;"",Termine!$A7,"")</f>
        <v/>
      </c>
      <c r="BM42" s="117"/>
      <c r="BN42" s="50"/>
      <c r="BO42" s="118" t="str">
        <f>IF(Termine!$B7&lt;&gt;"",Termine!$B7,"")</f>
        <v/>
      </c>
      <c r="BP42" s="118"/>
      <c r="BQ42" s="118"/>
      <c r="BR42" s="118"/>
      <c r="BS42" s="118"/>
      <c r="BT42" s="118"/>
      <c r="BU42" s="118"/>
      <c r="BV42" s="118"/>
      <c r="BW42" s="118"/>
      <c r="BX42" s="118"/>
      <c r="BY42" s="118"/>
      <c r="BZ42" s="118"/>
      <c r="CA42" s="118"/>
      <c r="CB42" s="118"/>
      <c r="CC42" s="118"/>
      <c r="CD42" s="118"/>
      <c r="CE42" s="118"/>
      <c r="CF42" s="118"/>
      <c r="CG42" s="118"/>
      <c r="CH42" s="118"/>
      <c r="CI42" s="118"/>
      <c r="CJ42" s="118"/>
      <c r="CK42" s="118"/>
      <c r="CL42" s="118"/>
      <c r="CU42" s="119" t="str">
        <f>IF(Vereinbarungen!$A7&lt;&gt;"",Vereinbarungen!$A7,"")</f>
        <v/>
      </c>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row>
    <row r="43" spans="2:145">
      <c r="B43" s="1"/>
      <c r="K43" s="92"/>
      <c r="L43" s="92"/>
      <c r="M43" s="92"/>
      <c r="N43" s="92"/>
      <c r="O43" s="92"/>
      <c r="P43" s="92"/>
      <c r="Q43" s="92"/>
      <c r="R43" s="92"/>
      <c r="S43" s="92"/>
      <c r="T43" s="92"/>
      <c r="AC43" s="1"/>
      <c r="AD43" s="1"/>
      <c r="AE43" s="116">
        <f>IF(Feiertage!$A8&lt;&gt;"",Feiertage!$A8,"")</f>
        <v>43251</v>
      </c>
      <c r="AF43" s="117"/>
      <c r="AG43" s="50"/>
      <c r="AH43" s="118" t="str">
        <f>IF(Feiertage!$B8&lt;&gt;"",Feiertage!$B8,"")</f>
        <v>Fronleichnam</v>
      </c>
      <c r="AI43" s="118"/>
      <c r="AJ43" s="118"/>
      <c r="AK43" s="118"/>
      <c r="AL43" s="118"/>
      <c r="AM43" s="118"/>
      <c r="AN43" s="118"/>
      <c r="AO43" s="118"/>
      <c r="AP43" s="118"/>
      <c r="AQ43" s="118"/>
      <c r="AR43" s="118"/>
      <c r="AS43" s="118"/>
      <c r="AT43" s="118"/>
      <c r="AU43" s="118"/>
      <c r="AV43" s="118"/>
      <c r="AW43" s="118"/>
      <c r="AX43" s="118"/>
      <c r="AY43" s="118"/>
      <c r="AZ43" s="118"/>
      <c r="BA43" s="118"/>
      <c r="BB43" s="118"/>
      <c r="BC43" s="118"/>
      <c r="BD43" s="118"/>
      <c r="BG43" s="50"/>
      <c r="BH43" s="50"/>
      <c r="BI43" s="50"/>
      <c r="BJ43" s="50"/>
      <c r="BK43" s="50"/>
      <c r="BL43" s="116" t="str">
        <f>IF(Termine!$A8&lt;&gt;"",Termine!$A8,"")</f>
        <v/>
      </c>
      <c r="BM43" s="117"/>
      <c r="BN43" s="50"/>
      <c r="BO43" s="118" t="str">
        <f>IF(Termine!$B8&lt;&gt;"",Termine!$B8,"")</f>
        <v/>
      </c>
      <c r="BP43" s="118"/>
      <c r="BQ43" s="118"/>
      <c r="BR43" s="118"/>
      <c r="BS43" s="118"/>
      <c r="BT43" s="118"/>
      <c r="BU43" s="118"/>
      <c r="BV43" s="118"/>
      <c r="BW43" s="118"/>
      <c r="BX43" s="118"/>
      <c r="BY43" s="118"/>
      <c r="BZ43" s="118"/>
      <c r="CA43" s="118"/>
      <c r="CB43" s="118"/>
      <c r="CC43" s="118"/>
      <c r="CD43" s="118"/>
      <c r="CE43" s="118"/>
      <c r="CF43" s="118"/>
      <c r="CG43" s="118"/>
      <c r="CH43" s="118"/>
      <c r="CI43" s="118"/>
      <c r="CJ43" s="118"/>
      <c r="CK43" s="118"/>
      <c r="CL43" s="118"/>
      <c r="CU43" s="119" t="str">
        <f>IF(Vereinbarungen!$A8&lt;&gt;"",Vereinbarungen!$A8,"")</f>
        <v/>
      </c>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row>
    <row r="44" spans="2:145">
      <c r="B44" s="1"/>
      <c r="C44" s="1"/>
      <c r="D44" s="1"/>
      <c r="E44" s="1"/>
      <c r="I44" s="41"/>
      <c r="K44" s="92" t="str">
        <f>Konfiguration!$B$1&amp;" bei " &amp; Konfiguration!$B$5</f>
        <v>Lukas bei Papa</v>
      </c>
      <c r="L44" s="92"/>
      <c r="M44" s="92"/>
      <c r="N44" s="92"/>
      <c r="O44" s="92"/>
      <c r="P44" s="92"/>
      <c r="Q44" s="92"/>
      <c r="R44" s="92"/>
      <c r="S44" s="92"/>
      <c r="T44" s="92"/>
      <c r="AC44" s="1"/>
      <c r="AD44" s="1"/>
      <c r="AE44" s="116">
        <f>IF(Feiertage!$A9&lt;&gt;"",Feiertage!$A9,"")</f>
        <v>43376</v>
      </c>
      <c r="AF44" s="117"/>
      <c r="AG44" s="50"/>
      <c r="AH44" s="118" t="str">
        <f>IF(Feiertage!$B9&lt;&gt;"",Feiertage!$B9,"")</f>
        <v>Tag der Deutschen Einheit</v>
      </c>
      <c r="AI44" s="118"/>
      <c r="AJ44" s="118"/>
      <c r="AK44" s="118"/>
      <c r="AL44" s="118"/>
      <c r="AM44" s="118"/>
      <c r="AN44" s="118"/>
      <c r="AO44" s="118"/>
      <c r="AP44" s="118"/>
      <c r="AQ44" s="118"/>
      <c r="AR44" s="118"/>
      <c r="AS44" s="118"/>
      <c r="AT44" s="118"/>
      <c r="AU44" s="118"/>
      <c r="AV44" s="118"/>
      <c r="AW44" s="118"/>
      <c r="AX44" s="118"/>
      <c r="AY44" s="118"/>
      <c r="AZ44" s="118"/>
      <c r="BA44" s="118"/>
      <c r="BB44" s="118"/>
      <c r="BC44" s="118"/>
      <c r="BD44" s="118"/>
      <c r="BG44" s="50"/>
      <c r="BH44" s="50"/>
      <c r="BI44" s="50"/>
      <c r="BJ44" s="50"/>
      <c r="BK44" s="50"/>
      <c r="BL44" s="116" t="str">
        <f>IF(Termine!$A9&lt;&gt;"",Termine!$A9,"")</f>
        <v/>
      </c>
      <c r="BM44" s="117"/>
      <c r="BN44" s="50"/>
      <c r="BO44" s="118" t="str">
        <f>IF(Termine!$B9&lt;&gt;"",Termine!$B9,"")</f>
        <v/>
      </c>
      <c r="BP44" s="118"/>
      <c r="BQ44" s="118"/>
      <c r="BR44" s="118"/>
      <c r="BS44" s="118"/>
      <c r="BT44" s="118"/>
      <c r="BU44" s="118"/>
      <c r="BV44" s="118"/>
      <c r="BW44" s="118"/>
      <c r="BX44" s="118"/>
      <c r="BY44" s="118"/>
      <c r="BZ44" s="118"/>
      <c r="CA44" s="118"/>
      <c r="CB44" s="118"/>
      <c r="CC44" s="118"/>
      <c r="CD44" s="118"/>
      <c r="CE44" s="118"/>
      <c r="CF44" s="118"/>
      <c r="CG44" s="118"/>
      <c r="CH44" s="118"/>
      <c r="CI44" s="118"/>
      <c r="CJ44" s="118"/>
      <c r="CK44" s="118"/>
      <c r="CL44" s="118"/>
      <c r="CU44" s="119" t="str">
        <f>IF(Vereinbarungen!$A9&lt;&gt;"",Vereinbarungen!$A9,"")</f>
        <v/>
      </c>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row>
    <row r="45" spans="2:145">
      <c r="I45" s="42"/>
      <c r="K45" s="92" t="str">
        <f>Konfiguration!$B$1&amp;" bei " &amp; Konfiguration!$B$4</f>
        <v>Lukas bei Mama</v>
      </c>
      <c r="L45" s="92"/>
      <c r="M45" s="92"/>
      <c r="N45" s="92"/>
      <c r="O45" s="92"/>
      <c r="P45" s="92"/>
      <c r="Q45" s="92"/>
      <c r="R45" s="92"/>
      <c r="S45" s="92"/>
      <c r="T45" s="92"/>
      <c r="AC45" s="1"/>
      <c r="AD45" s="1"/>
      <c r="AE45" s="116">
        <f>IF(Feiertage!$A10&lt;&gt;"",Feiertage!$A10,"")</f>
        <v>43405</v>
      </c>
      <c r="AF45" s="117"/>
      <c r="AG45" s="50"/>
      <c r="AH45" s="118" t="str">
        <f>IF(Feiertage!$B10&lt;&gt;"",Feiertage!$B10,"")</f>
        <v>Allerheiligen</v>
      </c>
      <c r="AI45" s="118"/>
      <c r="AJ45" s="118"/>
      <c r="AK45" s="118"/>
      <c r="AL45" s="118"/>
      <c r="AM45" s="118"/>
      <c r="AN45" s="118"/>
      <c r="AO45" s="118"/>
      <c r="AP45" s="118"/>
      <c r="AQ45" s="118"/>
      <c r="AR45" s="118"/>
      <c r="AS45" s="118"/>
      <c r="AT45" s="118"/>
      <c r="AU45" s="118"/>
      <c r="AV45" s="118"/>
      <c r="AW45" s="118"/>
      <c r="AX45" s="118"/>
      <c r="AY45" s="118"/>
      <c r="AZ45" s="118"/>
      <c r="BA45" s="118"/>
      <c r="BB45" s="118"/>
      <c r="BC45" s="118"/>
      <c r="BD45" s="118"/>
      <c r="BG45" s="50"/>
      <c r="BH45" s="50"/>
      <c r="BI45" s="50"/>
      <c r="BJ45" s="50"/>
      <c r="BK45" s="50"/>
      <c r="BL45" s="116" t="str">
        <f>IF(Termine!$A10&lt;&gt;"",Termine!$A10,"")</f>
        <v/>
      </c>
      <c r="BM45" s="117"/>
      <c r="BN45" s="50"/>
      <c r="BO45" s="118" t="str">
        <f>IF(Termine!$B10&lt;&gt;"",Termine!$B10,"")</f>
        <v/>
      </c>
      <c r="BP45" s="118"/>
      <c r="BQ45" s="118"/>
      <c r="BR45" s="118"/>
      <c r="BS45" s="118"/>
      <c r="BT45" s="118"/>
      <c r="BU45" s="118"/>
      <c r="BV45" s="118"/>
      <c r="BW45" s="118"/>
      <c r="BX45" s="118"/>
      <c r="BY45" s="118"/>
      <c r="BZ45" s="118"/>
      <c r="CA45" s="118"/>
      <c r="CB45" s="118"/>
      <c r="CC45" s="118"/>
      <c r="CD45" s="118"/>
      <c r="CE45" s="118"/>
      <c r="CF45" s="118"/>
      <c r="CG45" s="118"/>
      <c r="CH45" s="118"/>
      <c r="CI45" s="118"/>
      <c r="CJ45" s="118"/>
      <c r="CK45" s="118"/>
      <c r="CL45" s="118"/>
      <c r="CU45" s="119" t="str">
        <f>IF(Vereinbarungen!$A10&lt;&gt;"",Vereinbarungen!$A10,"")</f>
        <v/>
      </c>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row>
    <row r="46" spans="2:145">
      <c r="P46" s="1"/>
      <c r="Q46" s="1"/>
      <c r="R46" s="1"/>
      <c r="S46" s="1"/>
      <c r="T46" s="1"/>
      <c r="AC46" s="1"/>
      <c r="AD46" s="1"/>
      <c r="AE46" s="116">
        <f>IF(Feiertage!$A11&lt;&gt;"",Feiertage!$A11,"")</f>
        <v>43459</v>
      </c>
      <c r="AF46" s="117"/>
      <c r="AG46" s="50"/>
      <c r="AH46" s="118" t="str">
        <f>IF(Feiertage!$B11&lt;&gt;"",Feiertage!$B11,"")</f>
        <v>1. Weihnachtsfeiertag</v>
      </c>
      <c r="AI46" s="118"/>
      <c r="AJ46" s="118"/>
      <c r="AK46" s="118"/>
      <c r="AL46" s="118"/>
      <c r="AM46" s="118"/>
      <c r="AN46" s="118"/>
      <c r="AO46" s="118"/>
      <c r="AP46" s="118"/>
      <c r="AQ46" s="118"/>
      <c r="AR46" s="118"/>
      <c r="AS46" s="118"/>
      <c r="AT46" s="118"/>
      <c r="AU46" s="118"/>
      <c r="AV46" s="118"/>
      <c r="AW46" s="118"/>
      <c r="AX46" s="118"/>
      <c r="AY46" s="118"/>
      <c r="AZ46" s="118"/>
      <c r="BA46" s="118"/>
      <c r="BB46" s="118"/>
      <c r="BC46" s="118"/>
      <c r="BD46" s="118"/>
      <c r="BG46" s="50"/>
      <c r="BH46" s="50"/>
      <c r="BI46" s="50"/>
      <c r="BJ46" s="50"/>
      <c r="BK46" s="50"/>
      <c r="BL46" s="116" t="str">
        <f>IF(Termine!$A11&lt;&gt;"",Termine!$A11,"")</f>
        <v/>
      </c>
      <c r="BM46" s="117"/>
      <c r="BN46" s="50"/>
      <c r="BO46" s="118" t="str">
        <f>IF(Termine!$B11&lt;&gt;"",Termine!$B11,"")</f>
        <v/>
      </c>
      <c r="BP46" s="118"/>
      <c r="BQ46" s="118"/>
      <c r="BR46" s="118"/>
      <c r="BS46" s="118"/>
      <c r="BT46" s="118"/>
      <c r="BU46" s="118"/>
      <c r="BV46" s="118"/>
      <c r="BW46" s="118"/>
      <c r="BX46" s="118"/>
      <c r="BY46" s="118"/>
      <c r="BZ46" s="118"/>
      <c r="CA46" s="118"/>
      <c r="CB46" s="118"/>
      <c r="CC46" s="118"/>
      <c r="CD46" s="118"/>
      <c r="CE46" s="118"/>
      <c r="CF46" s="118"/>
      <c r="CG46" s="118"/>
      <c r="CH46" s="118"/>
      <c r="CI46" s="118"/>
      <c r="CJ46" s="118"/>
      <c r="CK46" s="118"/>
      <c r="CL46" s="118"/>
      <c r="CU46" s="119" t="str">
        <f>IF(Vereinbarungen!$A11&lt;&gt;"",Vereinbarungen!$A11,"")</f>
        <v/>
      </c>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row>
    <row r="47" spans="2:145">
      <c r="B47" s="1"/>
      <c r="C47" s="1"/>
      <c r="D47" s="1"/>
      <c r="E47" s="1"/>
      <c r="I47" s="1"/>
      <c r="J47" s="1"/>
      <c r="K47" s="1"/>
      <c r="L47" s="1"/>
      <c r="M47" s="1"/>
      <c r="N47" s="1"/>
      <c r="O47" s="1"/>
      <c r="P47" s="1"/>
      <c r="Q47" s="1"/>
      <c r="R47" s="1"/>
      <c r="S47" s="1"/>
      <c r="T47" s="1"/>
      <c r="AC47" s="1"/>
      <c r="AD47" s="1"/>
      <c r="AE47" s="116">
        <f>IF(Feiertage!$A12&lt;&gt;"",Feiertage!$A12,"")</f>
        <v>43460</v>
      </c>
      <c r="AF47" s="117"/>
      <c r="AG47" s="50"/>
      <c r="AH47" s="118" t="str">
        <f>IF(Feiertage!$B12&lt;&gt;"",Feiertage!$B12,"")</f>
        <v>2. Weihnachtsfeiertag</v>
      </c>
      <c r="AI47" s="118"/>
      <c r="AJ47" s="118"/>
      <c r="AK47" s="118"/>
      <c r="AL47" s="118"/>
      <c r="AM47" s="118"/>
      <c r="AN47" s="118"/>
      <c r="AO47" s="118"/>
      <c r="AP47" s="118"/>
      <c r="AQ47" s="118"/>
      <c r="AR47" s="118"/>
      <c r="AS47" s="118"/>
      <c r="AT47" s="118"/>
      <c r="AU47" s="118"/>
      <c r="AV47" s="118"/>
      <c r="AW47" s="118"/>
      <c r="AX47" s="118"/>
      <c r="AY47" s="118"/>
      <c r="AZ47" s="118"/>
      <c r="BA47" s="118"/>
      <c r="BB47" s="118"/>
      <c r="BC47" s="118"/>
      <c r="BD47" s="118"/>
      <c r="BG47" s="50"/>
      <c r="BH47" s="50"/>
      <c r="BI47" s="50"/>
      <c r="BJ47" s="50"/>
      <c r="BK47" s="50"/>
      <c r="BL47" s="116" t="str">
        <f>IF(Termine!$A12&lt;&gt;"",Termine!$A12,"")</f>
        <v/>
      </c>
      <c r="BM47" s="117"/>
      <c r="BN47" s="50"/>
      <c r="BO47" s="118" t="str">
        <f>IF(Termine!$B12&lt;&gt;"",Termine!$B12,"")</f>
        <v/>
      </c>
      <c r="BP47" s="118"/>
      <c r="BQ47" s="118"/>
      <c r="BR47" s="118"/>
      <c r="BS47" s="118"/>
      <c r="BT47" s="118"/>
      <c r="BU47" s="118"/>
      <c r="BV47" s="118"/>
      <c r="BW47" s="118"/>
      <c r="BX47" s="118"/>
      <c r="BY47" s="118"/>
      <c r="BZ47" s="118"/>
      <c r="CA47" s="118"/>
      <c r="CB47" s="118"/>
      <c r="CC47" s="118"/>
      <c r="CD47" s="118"/>
      <c r="CE47" s="118"/>
      <c r="CF47" s="118"/>
      <c r="CG47" s="118"/>
      <c r="CH47" s="118"/>
      <c r="CI47" s="118"/>
      <c r="CJ47" s="118"/>
      <c r="CK47" s="118"/>
      <c r="CL47" s="118"/>
      <c r="CU47" s="119" t="str">
        <f>IF(Vereinbarungen!$A12&lt;&gt;"",Vereinbarungen!$A12,"")</f>
        <v/>
      </c>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row>
    <row r="48" spans="2:145">
      <c r="AE48" s="116">
        <f>IF(Feiertage!$A13&lt;&gt;"",Feiertage!$A13,"")</f>
        <v>43466</v>
      </c>
      <c r="AF48" s="117"/>
      <c r="AG48" s="50"/>
      <c r="AH48" s="118" t="str">
        <f>IF(Feiertage!$B13&lt;&gt;"",Feiertage!$B13,"")</f>
        <v>Neujahr</v>
      </c>
      <c r="AI48" s="118"/>
      <c r="AJ48" s="118"/>
      <c r="AK48" s="118"/>
      <c r="AL48" s="118"/>
      <c r="AM48" s="118"/>
      <c r="AN48" s="118"/>
      <c r="AO48" s="118"/>
      <c r="AP48" s="118"/>
      <c r="AQ48" s="118"/>
      <c r="AR48" s="118"/>
      <c r="AS48" s="118"/>
      <c r="AT48" s="118"/>
      <c r="AU48" s="118"/>
      <c r="AV48" s="118"/>
      <c r="AW48" s="118"/>
      <c r="AX48" s="118"/>
      <c r="AY48" s="118"/>
      <c r="AZ48" s="118"/>
      <c r="BA48" s="118"/>
      <c r="BB48" s="118"/>
      <c r="BC48" s="118"/>
      <c r="BD48" s="118"/>
      <c r="BG48" s="50"/>
      <c r="BH48" s="50"/>
      <c r="BI48" s="50"/>
      <c r="BJ48" s="50"/>
      <c r="BK48" s="50"/>
      <c r="BL48" s="116" t="str">
        <f>IF(Termine!$A13&lt;&gt;"",Termine!$A13,"")</f>
        <v/>
      </c>
      <c r="BM48" s="117"/>
      <c r="BN48" s="50"/>
      <c r="BO48" s="118" t="str">
        <f>IF(Termine!$B13&lt;&gt;"",Termine!$B13,"")</f>
        <v/>
      </c>
      <c r="BP48" s="118"/>
      <c r="BQ48" s="118"/>
      <c r="BR48" s="118"/>
      <c r="BS48" s="118"/>
      <c r="BT48" s="118"/>
      <c r="BU48" s="118"/>
      <c r="BV48" s="118"/>
      <c r="BW48" s="118"/>
      <c r="BX48" s="118"/>
      <c r="BY48" s="118"/>
      <c r="BZ48" s="118"/>
      <c r="CA48" s="118"/>
      <c r="CB48" s="118"/>
      <c r="CC48" s="118"/>
      <c r="CD48" s="118"/>
      <c r="CE48" s="118"/>
      <c r="CF48" s="118"/>
      <c r="CG48" s="118"/>
      <c r="CH48" s="118"/>
      <c r="CI48" s="118"/>
      <c r="CJ48" s="118"/>
      <c r="CK48" s="118"/>
      <c r="CL48" s="118"/>
      <c r="CU48" s="119" t="str">
        <f>IF(Vereinbarungen!$A13&lt;&gt;"",Vereinbarungen!$A13,"")</f>
        <v/>
      </c>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row>
    <row r="49" spans="2:145">
      <c r="B49" s="1"/>
      <c r="C49" s="1"/>
      <c r="D49" s="1"/>
      <c r="E49" s="1"/>
      <c r="I49" s="1"/>
      <c r="J49" s="1"/>
      <c r="AE49" s="116" t="str">
        <f>IF(Feiertage!$A14&lt;&gt;"",Feiertage!$A14,"")</f>
        <v/>
      </c>
      <c r="AF49" s="117"/>
      <c r="AG49" s="50"/>
      <c r="AH49" s="118" t="str">
        <f>IF(Feiertage!$B14&lt;&gt;"",Feiertage!$B14,"")</f>
        <v/>
      </c>
      <c r="AI49" s="118"/>
      <c r="AJ49" s="118"/>
      <c r="AK49" s="118"/>
      <c r="AL49" s="118"/>
      <c r="AM49" s="118"/>
      <c r="AN49" s="118"/>
      <c r="AO49" s="118"/>
      <c r="AP49" s="118"/>
      <c r="AQ49" s="118"/>
      <c r="AR49" s="118"/>
      <c r="AS49" s="118"/>
      <c r="AT49" s="118"/>
      <c r="AU49" s="118"/>
      <c r="AV49" s="118"/>
      <c r="AW49" s="118"/>
      <c r="AX49" s="118"/>
      <c r="AY49" s="118"/>
      <c r="AZ49" s="118"/>
      <c r="BA49" s="118"/>
      <c r="BB49" s="118"/>
      <c r="BC49" s="118"/>
      <c r="BD49" s="118"/>
      <c r="BG49" s="50"/>
      <c r="BH49" s="50"/>
      <c r="BI49" s="50"/>
      <c r="BJ49" s="50"/>
      <c r="BK49" s="50"/>
      <c r="BL49" s="116" t="str">
        <f>IF(Termine!$A14&lt;&gt;"",Termine!$A14,"")</f>
        <v/>
      </c>
      <c r="BM49" s="117"/>
      <c r="BN49" s="50"/>
      <c r="BO49" s="118" t="str">
        <f>IF(Termine!$B14&lt;&gt;"",Termine!$B14,"")</f>
        <v/>
      </c>
      <c r="BP49" s="118"/>
      <c r="BQ49" s="118"/>
      <c r="BR49" s="118"/>
      <c r="BS49" s="118"/>
      <c r="BT49" s="118"/>
      <c r="BU49" s="118"/>
      <c r="BV49" s="118"/>
      <c r="BW49" s="118"/>
      <c r="BX49" s="118"/>
      <c r="BY49" s="118"/>
      <c r="BZ49" s="118"/>
      <c r="CA49" s="118"/>
      <c r="CB49" s="118"/>
      <c r="CC49" s="118"/>
      <c r="CD49" s="118"/>
      <c r="CE49" s="118"/>
      <c r="CF49" s="118"/>
      <c r="CG49" s="118"/>
      <c r="CH49" s="118"/>
      <c r="CI49" s="118"/>
      <c r="CJ49" s="118"/>
      <c r="CK49" s="118"/>
      <c r="CL49" s="118"/>
      <c r="CU49" s="119" t="str">
        <f>IF(Vereinbarungen!$A14&lt;&gt;"",Vereinbarungen!$A14,"")</f>
        <v/>
      </c>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row>
    <row r="50" spans="2:145">
      <c r="U50" s="117"/>
      <c r="V50" s="117"/>
      <c r="W50" s="37"/>
      <c r="DS50" s="36"/>
      <c r="DT50" s="36"/>
      <c r="DU50" s="36"/>
      <c r="DV50" s="36"/>
      <c r="DW50" s="36"/>
      <c r="DX50" s="36"/>
      <c r="DY50" s="36"/>
      <c r="DZ50" s="36"/>
      <c r="EA50" s="36"/>
      <c r="EB50" s="36"/>
      <c r="EC50" s="36"/>
      <c r="ED50" s="36"/>
      <c r="EE50" s="36"/>
      <c r="EF50" s="36"/>
      <c r="EG50" s="36"/>
      <c r="EH50" s="36"/>
      <c r="EI50" s="36"/>
      <c r="EJ50" s="36"/>
      <c r="EK50" s="36"/>
      <c r="EL50" s="36"/>
      <c r="EM50" s="36"/>
      <c r="EN50" s="36"/>
      <c r="EO50" s="36"/>
    </row>
    <row r="51" spans="2:145" ht="13" customHeight="1">
      <c r="I51" s="115" t="s">
        <v>71</v>
      </c>
      <c r="J51" s="115"/>
      <c r="K51" s="115"/>
      <c r="L51" s="115"/>
      <c r="M51" s="115"/>
      <c r="N51" s="115"/>
      <c r="O51" s="115"/>
      <c r="P51" s="115"/>
      <c r="Q51" s="115"/>
      <c r="R51" s="115"/>
      <c r="S51" s="115"/>
      <c r="T51" s="115"/>
      <c r="U51" s="115"/>
      <c r="V51" s="115"/>
      <c r="W51" s="115"/>
      <c r="X51" s="115"/>
      <c r="Y51" s="115"/>
      <c r="Z51" s="115"/>
      <c r="AA51" s="115"/>
      <c r="AB51" s="115"/>
      <c r="AC51" s="115"/>
      <c r="AD51" s="115"/>
      <c r="AE51" s="115"/>
      <c r="AF51" s="115"/>
      <c r="AG51" s="115"/>
      <c r="AH51" s="115"/>
      <c r="AI51" s="115"/>
      <c r="AJ51" s="115"/>
      <c r="AK51" s="115"/>
      <c r="AL51" s="115"/>
      <c r="AM51" s="115"/>
      <c r="AN51" s="115"/>
      <c r="AO51" s="115"/>
      <c r="AP51" s="115"/>
      <c r="AQ51" s="115"/>
      <c r="AR51" s="115"/>
      <c r="AS51" s="115"/>
      <c r="AT51" s="115"/>
      <c r="AU51" s="115"/>
      <c r="AV51" s="115"/>
      <c r="AW51" s="115"/>
      <c r="AX51" s="115"/>
      <c r="AY51" s="115"/>
      <c r="AZ51" s="115"/>
      <c r="BA51" s="115"/>
      <c r="BB51" s="115"/>
      <c r="BC51" s="115"/>
      <c r="BD51" s="115"/>
      <c r="BE51" s="115"/>
      <c r="BF51" s="115"/>
      <c r="BG51" s="115"/>
      <c r="BH51" s="115"/>
      <c r="BI51" s="115"/>
      <c r="BJ51" s="115"/>
      <c r="BK51" s="115"/>
      <c r="BL51" s="115"/>
      <c r="BM51" s="115"/>
      <c r="BN51" s="115"/>
      <c r="BO51" s="115"/>
      <c r="BP51" s="115"/>
      <c r="BQ51" s="115"/>
      <c r="BR51" s="115"/>
      <c r="BS51" s="115"/>
      <c r="BT51" s="115"/>
      <c r="BU51" s="115"/>
      <c r="BV51" s="115"/>
      <c r="BW51" s="115"/>
      <c r="BX51" s="115"/>
      <c r="BY51" s="115"/>
      <c r="BZ51" s="115"/>
      <c r="CA51" s="115"/>
      <c r="CB51" s="115"/>
      <c r="CC51" s="115"/>
      <c r="CD51" s="115"/>
      <c r="CE51" s="115"/>
      <c r="CF51" s="115"/>
      <c r="CG51" s="115"/>
      <c r="CH51" s="115"/>
      <c r="CI51" s="115"/>
      <c r="CJ51" s="115"/>
      <c r="CK51" s="115"/>
      <c r="CL51" s="115"/>
      <c r="CM51" s="115"/>
      <c r="CN51" s="115"/>
      <c r="CO51" s="115"/>
      <c r="CP51" s="115"/>
      <c r="CQ51" s="115"/>
      <c r="CR51" s="115"/>
      <c r="CS51" s="115"/>
      <c r="CT51" s="115"/>
      <c r="CU51" s="115"/>
      <c r="CV51" s="115"/>
      <c r="CW51" s="115"/>
      <c r="CX51" s="115"/>
      <c r="CY51" s="115"/>
      <c r="CZ51" s="115"/>
      <c r="DA51" s="115"/>
      <c r="DB51" s="115"/>
      <c r="DC51" s="115"/>
      <c r="DD51" s="115"/>
      <c r="DE51" s="115"/>
      <c r="DF51" s="115"/>
      <c r="DG51" s="115"/>
      <c r="DH51" s="115"/>
      <c r="DI51" s="115"/>
      <c r="DJ51" s="115"/>
      <c r="DK51" s="115"/>
      <c r="DL51" s="115"/>
      <c r="DM51" s="115"/>
      <c r="DN51" s="115"/>
      <c r="DO51" s="115"/>
      <c r="DP51" s="115"/>
      <c r="DQ51" s="115"/>
      <c r="DR51" s="115"/>
      <c r="DS51" s="115"/>
      <c r="DT51" s="115"/>
      <c r="DU51" s="115"/>
      <c r="DV51" s="115"/>
      <c r="DW51" s="115"/>
      <c r="DX51" s="115"/>
      <c r="DY51" s="115"/>
      <c r="DZ51" s="115"/>
      <c r="EA51" s="115"/>
      <c r="EB51" s="115"/>
      <c r="EC51" s="115"/>
      <c r="ED51" s="115"/>
      <c r="EE51" s="115"/>
      <c r="EF51" s="115"/>
      <c r="EG51" s="115"/>
      <c r="EH51" s="115"/>
      <c r="EI51" s="115"/>
      <c r="EJ51" s="115"/>
      <c r="EK51" s="115"/>
      <c r="EL51" s="115"/>
      <c r="EM51" s="115"/>
      <c r="EN51" s="115"/>
      <c r="EO51" s="115"/>
    </row>
    <row r="52" spans="2:145">
      <c r="I52" s="115"/>
      <c r="J52" s="115"/>
      <c r="K52" s="115"/>
      <c r="L52" s="115"/>
      <c r="M52" s="115"/>
      <c r="N52" s="115"/>
      <c r="O52" s="115"/>
      <c r="P52" s="115"/>
      <c r="Q52" s="115"/>
      <c r="R52" s="115"/>
      <c r="S52" s="115"/>
      <c r="T52" s="115"/>
      <c r="U52" s="115"/>
      <c r="V52" s="115"/>
      <c r="W52" s="115"/>
      <c r="X52" s="115"/>
      <c r="Y52" s="115"/>
      <c r="Z52" s="115"/>
      <c r="AA52" s="115"/>
      <c r="AB52" s="115"/>
      <c r="AC52" s="115"/>
      <c r="AD52" s="115"/>
      <c r="AE52" s="115"/>
      <c r="AF52" s="115"/>
      <c r="AG52" s="115"/>
      <c r="AH52" s="115"/>
      <c r="AI52" s="115"/>
      <c r="AJ52" s="115"/>
      <c r="AK52" s="115"/>
      <c r="AL52" s="115"/>
      <c r="AM52" s="115"/>
      <c r="AN52" s="115"/>
      <c r="AO52" s="115"/>
      <c r="AP52" s="115"/>
      <c r="AQ52" s="115"/>
      <c r="AR52" s="115"/>
      <c r="AS52" s="115"/>
      <c r="AT52" s="115"/>
      <c r="AU52" s="115"/>
      <c r="AV52" s="115"/>
      <c r="AW52" s="115"/>
      <c r="AX52" s="115"/>
      <c r="AY52" s="115"/>
      <c r="AZ52" s="115"/>
      <c r="BA52" s="115"/>
      <c r="BB52" s="115"/>
      <c r="BC52" s="115"/>
      <c r="BD52" s="115"/>
      <c r="BE52" s="115"/>
      <c r="BF52" s="115"/>
      <c r="BG52" s="115"/>
      <c r="BH52" s="115"/>
      <c r="BI52" s="115"/>
      <c r="BJ52" s="115"/>
      <c r="BK52" s="115"/>
      <c r="BL52" s="115"/>
      <c r="BM52" s="115"/>
      <c r="BN52" s="115"/>
      <c r="BO52" s="115"/>
      <c r="BP52" s="115"/>
      <c r="BQ52" s="115"/>
      <c r="BR52" s="115"/>
      <c r="BS52" s="115"/>
      <c r="BT52" s="115"/>
      <c r="BU52" s="115"/>
      <c r="BV52" s="115"/>
      <c r="BW52" s="115"/>
      <c r="BX52" s="115"/>
      <c r="BY52" s="115"/>
      <c r="BZ52" s="115"/>
      <c r="CA52" s="115"/>
      <c r="CB52" s="115"/>
      <c r="CC52" s="115"/>
      <c r="CD52" s="115"/>
      <c r="CE52" s="115"/>
      <c r="CF52" s="115"/>
      <c r="CG52" s="115"/>
      <c r="CH52" s="115"/>
      <c r="CI52" s="115"/>
      <c r="CJ52" s="115"/>
      <c r="CK52" s="115"/>
      <c r="CL52" s="115"/>
      <c r="CM52" s="115"/>
      <c r="CN52" s="115"/>
      <c r="CO52" s="115"/>
      <c r="CP52" s="115"/>
      <c r="CQ52" s="115"/>
      <c r="CR52" s="115"/>
      <c r="CS52" s="115"/>
      <c r="CT52" s="115"/>
      <c r="CU52" s="115"/>
      <c r="CV52" s="115"/>
      <c r="CW52" s="115"/>
      <c r="CX52" s="115"/>
      <c r="CY52" s="115"/>
      <c r="CZ52" s="115"/>
      <c r="DA52" s="115"/>
      <c r="DB52" s="115"/>
      <c r="DC52" s="115"/>
      <c r="DD52" s="115"/>
      <c r="DE52" s="115"/>
      <c r="DF52" s="115"/>
      <c r="DG52" s="115"/>
      <c r="DH52" s="115"/>
      <c r="DI52" s="115"/>
      <c r="DJ52" s="115"/>
      <c r="DK52" s="115"/>
      <c r="DL52" s="115"/>
      <c r="DM52" s="115"/>
      <c r="DN52" s="115"/>
      <c r="DO52" s="115"/>
      <c r="DP52" s="115"/>
      <c r="DQ52" s="115"/>
      <c r="DR52" s="115"/>
      <c r="DS52" s="115"/>
      <c r="DT52" s="115"/>
      <c r="DU52" s="115"/>
      <c r="DV52" s="115"/>
      <c r="DW52" s="115"/>
      <c r="DX52" s="115"/>
      <c r="DY52" s="115"/>
      <c r="DZ52" s="115"/>
      <c r="EA52" s="115"/>
      <c r="EB52" s="115"/>
      <c r="EC52" s="115"/>
      <c r="ED52" s="115"/>
      <c r="EE52" s="115"/>
      <c r="EF52" s="115"/>
      <c r="EG52" s="115"/>
      <c r="EH52" s="115"/>
      <c r="EI52" s="115"/>
      <c r="EJ52" s="115"/>
      <c r="EK52" s="115"/>
      <c r="EL52" s="115"/>
      <c r="EM52" s="115"/>
      <c r="EN52" s="115"/>
      <c r="EO52" s="115"/>
    </row>
    <row r="53" spans="2:145">
      <c r="I53" s="64"/>
      <c r="J53" s="64"/>
      <c r="K53" s="64"/>
      <c r="L53" s="64"/>
      <c r="M53" s="64"/>
      <c r="N53" s="64"/>
      <c r="O53" s="64"/>
      <c r="P53" s="64"/>
      <c r="Q53" s="64"/>
      <c r="R53" s="64"/>
      <c r="S53" s="64"/>
      <c r="T53" s="64"/>
      <c r="U53" s="64"/>
      <c r="V53" s="64"/>
      <c r="W53" s="64"/>
      <c r="X53" s="64"/>
      <c r="Y53" s="64"/>
      <c r="Z53" s="64"/>
      <c r="AA53" s="64"/>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c r="BG53" s="64"/>
      <c r="BH53" s="64"/>
      <c r="BI53" s="64"/>
      <c r="BJ53" s="64"/>
      <c r="BK53" s="64"/>
      <c r="BL53" s="64"/>
      <c r="BM53" s="64"/>
      <c r="BN53" s="64"/>
      <c r="BO53" s="64"/>
      <c r="BP53" s="64"/>
      <c r="BQ53" s="64"/>
      <c r="BR53" s="64"/>
      <c r="BS53" s="64"/>
      <c r="BT53" s="64"/>
      <c r="BU53" s="64"/>
      <c r="BV53" s="64"/>
      <c r="BW53" s="64"/>
      <c r="BX53" s="64"/>
      <c r="BY53" s="64"/>
      <c r="BZ53" s="64"/>
      <c r="CA53" s="64"/>
      <c r="CB53" s="64"/>
      <c r="CC53" s="64"/>
      <c r="CD53" s="64"/>
      <c r="CE53" s="64"/>
      <c r="CF53" s="64"/>
      <c r="CG53" s="64"/>
      <c r="CH53" s="64"/>
      <c r="CI53" s="64"/>
      <c r="CJ53" s="64"/>
      <c r="CK53" s="64"/>
      <c r="CL53" s="64"/>
      <c r="CM53" s="64"/>
      <c r="CN53" s="64"/>
      <c r="CO53" s="64"/>
      <c r="CP53" s="64"/>
      <c r="CQ53" s="64"/>
      <c r="CR53" s="64"/>
      <c r="CS53" s="64"/>
      <c r="CT53" s="64"/>
      <c r="CU53" s="64"/>
      <c r="CV53" s="64"/>
      <c r="CW53" s="64"/>
      <c r="CX53" s="64"/>
      <c r="CY53" s="64"/>
      <c r="CZ53" s="64"/>
      <c r="DA53" s="64"/>
      <c r="DB53" s="64"/>
      <c r="DC53" s="64"/>
      <c r="DD53" s="64"/>
      <c r="DE53" s="64"/>
      <c r="DF53" s="64"/>
      <c r="DG53" s="64"/>
      <c r="DH53" s="64"/>
      <c r="DI53" s="64"/>
      <c r="DJ53" s="64"/>
      <c r="DK53" s="64"/>
      <c r="DL53" s="64"/>
      <c r="DM53" s="64"/>
      <c r="DN53" s="64"/>
      <c r="DO53" s="64"/>
      <c r="DP53" s="64"/>
      <c r="DQ53" s="64"/>
      <c r="DR53" s="64"/>
      <c r="DS53" s="64"/>
      <c r="DT53" s="64"/>
      <c r="DU53" s="64"/>
      <c r="DV53" s="64"/>
      <c r="DW53" s="64"/>
      <c r="DX53" s="64"/>
      <c r="DY53" s="64"/>
      <c r="DZ53" s="64"/>
      <c r="EA53" s="64"/>
      <c r="EB53" s="64"/>
      <c r="EC53" s="64"/>
      <c r="ED53" s="64"/>
      <c r="EE53" s="64"/>
      <c r="EF53" s="64"/>
      <c r="EG53" s="64"/>
      <c r="EH53" s="64"/>
      <c r="EI53" s="64"/>
      <c r="EJ53" s="64"/>
      <c r="EK53" s="64"/>
      <c r="EL53" s="64"/>
      <c r="EM53" s="64"/>
      <c r="EN53" s="64"/>
      <c r="EO53" s="64"/>
    </row>
  </sheetData>
  <sheetProtection algorithmName="SHA-512" hashValue="xOD0/wKQ7nb99q9VUwjiJoIZXE37UDArTntgOSSXbtPu7nCwJFBo6vMi1/a0DXW6aVI7BPJnf3PN+iWwMY0ViA==" saltValue="Pd0Om4GXtb1I9IRExWA01A==" spinCount="100000" sheet="1" objects="1" scenarios="1" selectLockedCells="1"/>
  <customSheetViews>
    <customSheetView guid="{19F2C78B-640B-4445-8A9B-8FF71EE799BF}" scale="110" showGridLines="0" fitToPage="1" printArea="1">
      <selection activeCell="EF13" sqref="EF13"/>
      <pageMargins left="0.51181102362204722" right="0.51181102362204722" top="0.27559055118110237" bottom="0.27559055118110237" header="0.27559055118110237" footer="0.27559055118110237"/>
      <printOptions horizontalCentered="1" verticalCentered="1"/>
      <pageSetup paperSize="9" scale="57" orientation="landscape" horizontalDpi="300" verticalDpi="300"/>
    </customSheetView>
    <customSheetView guid="{C000300E-3872-7844-B072-10EE917F89C0}" showGridLines="0" fitToPage="1" printArea="1" hiddenColumns="1" topLeftCell="H1">
      <selection activeCell="BC13" sqref="BC13"/>
      <pageMargins left="0.51181102362204722" right="0.51181102362204722" top="0.27559055118110237" bottom="0.27559055118110237" header="0.27559055118110237" footer="0.27559055118110237"/>
      <printOptions horizontalCentered="1" verticalCentered="1"/>
      <pageSetup paperSize="9" scale="54" orientation="landscape" horizontalDpi="300" verticalDpi="300"/>
    </customSheetView>
  </customSheetViews>
  <mergeCells count="96">
    <mergeCell ref="AH45:BD45"/>
    <mergeCell ref="AH46:BD46"/>
    <mergeCell ref="AH47:BD47"/>
    <mergeCell ref="AH48:BD48"/>
    <mergeCell ref="AH49:BD49"/>
    <mergeCell ref="AH40:BD40"/>
    <mergeCell ref="AH41:BD41"/>
    <mergeCell ref="AH42:BD42"/>
    <mergeCell ref="AH43:BD43"/>
    <mergeCell ref="AH44:BD44"/>
    <mergeCell ref="AH37:BD37"/>
    <mergeCell ref="AH38:BD38"/>
    <mergeCell ref="AH39:BD39"/>
    <mergeCell ref="CU48:EO48"/>
    <mergeCell ref="CU49:EO49"/>
    <mergeCell ref="BO37:CL37"/>
    <mergeCell ref="BO38:CL38"/>
    <mergeCell ref="BO39:CL39"/>
    <mergeCell ref="BO40:CL40"/>
    <mergeCell ref="BO41:CL41"/>
    <mergeCell ref="BO42:CL42"/>
    <mergeCell ref="BO43:CL43"/>
    <mergeCell ref="BO44:CL44"/>
    <mergeCell ref="BO45:CL45"/>
    <mergeCell ref="BO46:CL46"/>
    <mergeCell ref="BO47:CL47"/>
    <mergeCell ref="K38:W40"/>
    <mergeCell ref="AE42:AF42"/>
    <mergeCell ref="AE43:AF43"/>
    <mergeCell ref="AE44:AF44"/>
    <mergeCell ref="AE45:AF45"/>
    <mergeCell ref="AE37:AF37"/>
    <mergeCell ref="AE38:AF38"/>
    <mergeCell ref="AE39:AF39"/>
    <mergeCell ref="AE40:AF40"/>
    <mergeCell ref="AE41:AF41"/>
    <mergeCell ref="C2:M2"/>
    <mergeCell ref="N2:X2"/>
    <mergeCell ref="EN33:EO33"/>
    <mergeCell ref="EN30:EO30"/>
    <mergeCell ref="EN31:EO31"/>
    <mergeCell ref="EN32:EO32"/>
    <mergeCell ref="EN19:EO19"/>
    <mergeCell ref="EN26:EO26"/>
    <mergeCell ref="EN24:EO24"/>
    <mergeCell ref="EN25:EO25"/>
    <mergeCell ref="EN27:EO27"/>
    <mergeCell ref="EN28:EO28"/>
    <mergeCell ref="EN29:EO29"/>
    <mergeCell ref="EN18:EO18"/>
    <mergeCell ref="Y2:AI2"/>
    <mergeCell ref="AJ2:AT2"/>
    <mergeCell ref="AU2:BE2"/>
    <mergeCell ref="EN22:EO22"/>
    <mergeCell ref="EE2:EO2"/>
    <mergeCell ref="EN20:EO20"/>
    <mergeCell ref="EN21:EO21"/>
    <mergeCell ref="BF2:BP2"/>
    <mergeCell ref="BQ2:CA2"/>
    <mergeCell ref="CU43:EO43"/>
    <mergeCell ref="CU44:EO44"/>
    <mergeCell ref="CU45:EO45"/>
    <mergeCell ref="CU46:EO46"/>
    <mergeCell ref="CU47:EO47"/>
    <mergeCell ref="CU40:EO40"/>
    <mergeCell ref="CU41:EO41"/>
    <mergeCell ref="CU42:EO42"/>
    <mergeCell ref="CU38:EO38"/>
    <mergeCell ref="CU39:EO39"/>
    <mergeCell ref="CU37:EO37"/>
    <mergeCell ref="DT2:ED2"/>
    <mergeCell ref="CB2:CL2"/>
    <mergeCell ref="CM2:CW2"/>
    <mergeCell ref="CX2:DH2"/>
    <mergeCell ref="DI2:DS2"/>
    <mergeCell ref="BL42:BM42"/>
    <mergeCell ref="BL43:BM43"/>
    <mergeCell ref="BL44:BM44"/>
    <mergeCell ref="BL45:BM45"/>
    <mergeCell ref="BL46:BM46"/>
    <mergeCell ref="BL37:BM37"/>
    <mergeCell ref="BL38:BM38"/>
    <mergeCell ref="BL39:BM39"/>
    <mergeCell ref="BL40:BM40"/>
    <mergeCell ref="BL41:BM41"/>
    <mergeCell ref="I51:EO52"/>
    <mergeCell ref="AE46:AF46"/>
    <mergeCell ref="AE47:AF47"/>
    <mergeCell ref="AE48:AF48"/>
    <mergeCell ref="AE49:AF49"/>
    <mergeCell ref="BL47:BM47"/>
    <mergeCell ref="BL48:BM48"/>
    <mergeCell ref="BL49:BM49"/>
    <mergeCell ref="U50:V50"/>
    <mergeCell ref="BO48:CL48"/>
    <mergeCell ref="BO49:CL49"/>
  </mergeCells>
  <phoneticPr fontId="0" type="noConversion"/>
  <conditionalFormatting sqref="I8">
    <cfRule type="expression" dxfId="135" priority="270">
      <formula>D8=1</formula>
    </cfRule>
  </conditionalFormatting>
  <conditionalFormatting sqref="I3:I33">
    <cfRule type="expression" dxfId="134" priority="264">
      <formula>F3=1</formula>
    </cfRule>
    <cfRule type="expression" dxfId="133" priority="265">
      <formula>D3=1</formula>
    </cfRule>
    <cfRule type="expression" dxfId="132" priority="269">
      <formula>E3=1</formula>
    </cfRule>
  </conditionalFormatting>
  <conditionalFormatting sqref="I9">
    <cfRule type="expression" dxfId="131" priority="268">
      <formula>D9=1</formula>
    </cfRule>
  </conditionalFormatting>
  <conditionalFormatting sqref="I10:I33">
    <cfRule type="expression" dxfId="130" priority="267">
      <formula>D10=1</formula>
    </cfRule>
  </conditionalFormatting>
  <conditionalFormatting sqref="J4:J33">
    <cfRule type="expression" dxfId="129" priority="266">
      <formula>D4=1</formula>
    </cfRule>
  </conditionalFormatting>
  <conditionalFormatting sqref="J3:J33">
    <cfRule type="expression" dxfId="128" priority="261">
      <formula>F3=1</formula>
    </cfRule>
    <cfRule type="expression" dxfId="127" priority="262">
      <formula>D3=1</formula>
    </cfRule>
    <cfRule type="expression" dxfId="126" priority="263">
      <formula>E3=1</formula>
    </cfRule>
  </conditionalFormatting>
  <conditionalFormatting sqref="AE3">
    <cfRule type="expression" dxfId="125" priority="240">
      <formula>AB3=1</formula>
    </cfRule>
    <cfRule type="expression" dxfId="124" priority="241">
      <formula>AA3=1</formula>
    </cfRule>
    <cfRule type="expression" dxfId="123" priority="242">
      <formula>Z3=1</formula>
    </cfRule>
  </conditionalFormatting>
  <conditionalFormatting sqref="AF3">
    <cfRule type="expression" dxfId="122" priority="237">
      <formula>AB3=1</formula>
    </cfRule>
    <cfRule type="expression" dxfId="121" priority="238">
      <formula>AA3=1</formula>
    </cfRule>
    <cfRule type="expression" dxfId="120" priority="239">
      <formula>Z3=1</formula>
    </cfRule>
  </conditionalFormatting>
  <conditionalFormatting sqref="AE4">
    <cfRule type="expression" dxfId="119" priority="234">
      <formula>AB4=1</formula>
    </cfRule>
    <cfRule type="expression" dxfId="118" priority="235">
      <formula>AA4=1</formula>
    </cfRule>
    <cfRule type="expression" dxfId="117" priority="236">
      <formula>Z4=1</formula>
    </cfRule>
  </conditionalFormatting>
  <conditionalFormatting sqref="AF4">
    <cfRule type="expression" dxfId="116" priority="231">
      <formula>AB4=1</formula>
    </cfRule>
    <cfRule type="expression" dxfId="115" priority="232">
      <formula>AA4=1</formula>
    </cfRule>
    <cfRule type="expression" dxfId="114" priority="233">
      <formula>Z4=1</formula>
    </cfRule>
  </conditionalFormatting>
  <conditionalFormatting sqref="AE5:AE33">
    <cfRule type="expression" dxfId="113" priority="228">
      <formula>AB5=1</formula>
    </cfRule>
    <cfRule type="expression" dxfId="112" priority="229">
      <formula>AA5=1</formula>
    </cfRule>
    <cfRule type="expression" dxfId="111" priority="230">
      <formula>Z5=1</formula>
    </cfRule>
  </conditionalFormatting>
  <conditionalFormatting sqref="AF5:AF33">
    <cfRule type="expression" dxfId="110" priority="225">
      <formula>AB5=1</formula>
    </cfRule>
    <cfRule type="expression" dxfId="109" priority="226">
      <formula>AA5=1</formula>
    </cfRule>
    <cfRule type="expression" dxfId="108" priority="227">
      <formula>Z5=1</formula>
    </cfRule>
  </conditionalFormatting>
  <conditionalFormatting sqref="K3:K33">
    <cfRule type="expression" dxfId="107" priority="104">
      <formula>K3&lt;&gt;""</formula>
    </cfRule>
  </conditionalFormatting>
  <conditionalFormatting sqref="V3:V33">
    <cfRule type="expression" dxfId="106" priority="102">
      <formula>V3&lt;&gt;""</formula>
    </cfRule>
  </conditionalFormatting>
  <conditionalFormatting sqref="AR3:AR33">
    <cfRule type="expression" dxfId="105" priority="101">
      <formula>AR3&lt;&gt;""</formula>
    </cfRule>
  </conditionalFormatting>
  <conditionalFormatting sqref="BC3:BC33">
    <cfRule type="expression" dxfId="104" priority="100">
      <formula>BC3&lt;&gt;""</formula>
    </cfRule>
  </conditionalFormatting>
  <conditionalFormatting sqref="BN3:BN32">
    <cfRule type="expression" dxfId="103" priority="99">
      <formula>BN3&lt;&gt;""</formula>
    </cfRule>
  </conditionalFormatting>
  <conditionalFormatting sqref="BY3:BY33">
    <cfRule type="expression" dxfId="102" priority="98">
      <formula>BY3&lt;&gt;""</formula>
    </cfRule>
  </conditionalFormatting>
  <conditionalFormatting sqref="CJ3:CJ33">
    <cfRule type="expression" dxfId="101" priority="97">
      <formula>CJ3&lt;&gt;""</formula>
    </cfRule>
  </conditionalFormatting>
  <conditionalFormatting sqref="CU3:CU32">
    <cfRule type="expression" dxfId="100" priority="96">
      <formula>CU3&lt;&gt;""</formula>
    </cfRule>
  </conditionalFormatting>
  <conditionalFormatting sqref="DF3:DF33">
    <cfRule type="expression" dxfId="99" priority="95">
      <formula>DF3&lt;&gt;""</formula>
    </cfRule>
  </conditionalFormatting>
  <conditionalFormatting sqref="DQ3:DQ32">
    <cfRule type="expression" dxfId="98" priority="94">
      <formula>DQ3&lt;&gt;""</formula>
    </cfRule>
  </conditionalFormatting>
  <conditionalFormatting sqref="EB3:EB33">
    <cfRule type="expression" dxfId="97" priority="93">
      <formula>EB3&lt;&gt;""</formula>
    </cfRule>
  </conditionalFormatting>
  <conditionalFormatting sqref="EM3:EM17">
    <cfRule type="expression" dxfId="96" priority="92">
      <formula>EM3&lt;&gt;""</formula>
    </cfRule>
  </conditionalFormatting>
  <conditionalFormatting sqref="L3:L33">
    <cfRule type="expression" dxfId="95" priority="90">
      <formula>H3="Papa"</formula>
    </cfRule>
    <cfRule type="expression" dxfId="94" priority="91">
      <formula>H3="Mama"</formula>
    </cfRule>
  </conditionalFormatting>
  <conditionalFormatting sqref="W4:W31">
    <cfRule type="expression" dxfId="93" priority="84">
      <formula>S4="Papa"</formula>
    </cfRule>
    <cfRule type="expression" dxfId="92" priority="85">
      <formula>S4="Mama"</formula>
    </cfRule>
  </conditionalFormatting>
  <conditionalFormatting sqref="W3">
    <cfRule type="expression" dxfId="91" priority="86">
      <formula>S3="Papa"</formula>
    </cfRule>
    <cfRule type="expression" dxfId="90" priority="87">
      <formula>S3="Mama"</formula>
    </cfRule>
  </conditionalFormatting>
  <conditionalFormatting sqref="AH3:AH33">
    <cfRule type="expression" dxfId="89" priority="82">
      <formula>AD3="Papa"</formula>
    </cfRule>
    <cfRule type="expression" dxfId="88" priority="83">
      <formula>AD3="Mama"</formula>
    </cfRule>
  </conditionalFormatting>
  <conditionalFormatting sqref="AS3:AS32">
    <cfRule type="expression" dxfId="87" priority="80">
      <formula>AO3="Papa"</formula>
    </cfRule>
    <cfRule type="expression" dxfId="86" priority="81">
      <formula>AO3="Mama"</formula>
    </cfRule>
  </conditionalFormatting>
  <conditionalFormatting sqref="BD3:BD33">
    <cfRule type="expression" dxfId="85" priority="78">
      <formula>AZ3="Papa"</formula>
    </cfRule>
    <cfRule type="expression" dxfId="84" priority="79">
      <formula>AZ3="Mama"</formula>
    </cfRule>
  </conditionalFormatting>
  <conditionalFormatting sqref="BO3:BO32">
    <cfRule type="expression" dxfId="83" priority="76">
      <formula>BK3="Papa"</formula>
    </cfRule>
    <cfRule type="expression" dxfId="82" priority="77">
      <formula>BK3="Mama"</formula>
    </cfRule>
  </conditionalFormatting>
  <conditionalFormatting sqref="BZ3:BZ33">
    <cfRule type="expression" dxfId="81" priority="74">
      <formula>BV3="Papa"</formula>
    </cfRule>
    <cfRule type="expression" dxfId="80" priority="75">
      <formula>BV3="Mama"</formula>
    </cfRule>
  </conditionalFormatting>
  <conditionalFormatting sqref="CK3:CK33">
    <cfRule type="expression" dxfId="79" priority="72">
      <formula>CG3="Papa"</formula>
    </cfRule>
    <cfRule type="expression" dxfId="78" priority="73">
      <formula>CG3="Mama"</formula>
    </cfRule>
  </conditionalFormatting>
  <conditionalFormatting sqref="CV3:CV32">
    <cfRule type="expression" dxfId="77" priority="70">
      <formula>CR3="Papa"</formula>
    </cfRule>
    <cfRule type="expression" dxfId="76" priority="71">
      <formula>CR3="Mama"</formula>
    </cfRule>
  </conditionalFormatting>
  <conditionalFormatting sqref="DG3:DG33">
    <cfRule type="expression" dxfId="75" priority="68">
      <formula>DC3="Papa"</formula>
    </cfRule>
    <cfRule type="expression" dxfId="74" priority="69">
      <formula>DC3="Mama"</formula>
    </cfRule>
  </conditionalFormatting>
  <conditionalFormatting sqref="DR3:DR32">
    <cfRule type="expression" dxfId="73" priority="66">
      <formula>DN3="Papa"</formula>
    </cfRule>
    <cfRule type="expression" dxfId="72" priority="67">
      <formula>DN3="Mama"</formula>
    </cfRule>
  </conditionalFormatting>
  <conditionalFormatting sqref="EC3:EC33">
    <cfRule type="expression" dxfId="71" priority="64">
      <formula>DY3="Papa"</formula>
    </cfRule>
    <cfRule type="expression" dxfId="70" priority="65">
      <formula>DY3="Mama"</formula>
    </cfRule>
  </conditionalFormatting>
  <conditionalFormatting sqref="EN3:EN17">
    <cfRule type="expression" dxfId="69" priority="62">
      <formula>EJ3="Papa"</formula>
    </cfRule>
    <cfRule type="expression" dxfId="68" priority="63">
      <formula>EJ3="Mama"</formula>
    </cfRule>
  </conditionalFormatting>
  <conditionalFormatting sqref="BW50 BW34:BW37 BW54:BW332">
    <cfRule type="expression" dxfId="67" priority="186">
      <formula>BT34=1</formula>
    </cfRule>
  </conditionalFormatting>
  <conditionalFormatting sqref="AP3:AP32">
    <cfRule type="expression" dxfId="66" priority="59">
      <formula>AM3=1</formula>
    </cfRule>
    <cfRule type="expression" dxfId="65" priority="60">
      <formula>AK3=1</formula>
    </cfRule>
    <cfRule type="expression" dxfId="64" priority="61">
      <formula>AL3=1</formula>
    </cfRule>
  </conditionalFormatting>
  <conditionalFormatting sqref="AQ3:AQ32">
    <cfRule type="expression" dxfId="63" priority="56">
      <formula>AM3=1</formula>
    </cfRule>
    <cfRule type="expression" dxfId="62" priority="57">
      <formula>AK3=1</formula>
    </cfRule>
    <cfRule type="expression" dxfId="61" priority="58">
      <formula>AL3=1</formula>
    </cfRule>
  </conditionalFormatting>
  <conditionalFormatting sqref="BA3:BA33">
    <cfRule type="expression" dxfId="60" priority="53">
      <formula>AX3=1</formula>
    </cfRule>
    <cfRule type="expression" dxfId="59" priority="54">
      <formula>AV3=1</formula>
    </cfRule>
    <cfRule type="expression" dxfId="58" priority="55">
      <formula>AW3=1</formula>
    </cfRule>
  </conditionalFormatting>
  <conditionalFormatting sqref="BB3:BB33">
    <cfRule type="expression" dxfId="57" priority="50">
      <formula>AX3=1</formula>
    </cfRule>
    <cfRule type="expression" dxfId="56" priority="51">
      <formula>AV3=1</formula>
    </cfRule>
    <cfRule type="expression" dxfId="55" priority="52">
      <formula>AW3=1</formula>
    </cfRule>
  </conditionalFormatting>
  <conditionalFormatting sqref="BL3:BL32">
    <cfRule type="expression" dxfId="54" priority="47">
      <formula>BI3=1</formula>
    </cfRule>
    <cfRule type="expression" dxfId="53" priority="48">
      <formula>BG3=1</formula>
    </cfRule>
    <cfRule type="expression" dxfId="52" priority="49">
      <formula>BH3=1</formula>
    </cfRule>
  </conditionalFormatting>
  <conditionalFormatting sqref="BM3:BM32">
    <cfRule type="expression" dxfId="51" priority="44">
      <formula>BI3=1</formula>
    </cfRule>
    <cfRule type="expression" dxfId="50" priority="45">
      <formula>BG3=1</formula>
    </cfRule>
    <cfRule type="expression" dxfId="49" priority="46">
      <formula>BH3=1</formula>
    </cfRule>
  </conditionalFormatting>
  <conditionalFormatting sqref="BW3:BW33">
    <cfRule type="expression" dxfId="48" priority="41">
      <formula>BT3=1</formula>
    </cfRule>
    <cfRule type="expression" dxfId="47" priority="42">
      <formula>BR3=1</formula>
    </cfRule>
    <cfRule type="expression" dxfId="46" priority="43">
      <formula>BS3=1</formula>
    </cfRule>
  </conditionalFormatting>
  <conditionalFormatting sqref="BX3:BX33">
    <cfRule type="expression" dxfId="45" priority="38">
      <formula>BT3=1</formula>
    </cfRule>
    <cfRule type="expression" dxfId="44" priority="39">
      <formula>BR3=1</formula>
    </cfRule>
    <cfRule type="expression" dxfId="43" priority="40">
      <formula>BS3=1</formula>
    </cfRule>
  </conditionalFormatting>
  <conditionalFormatting sqref="CH3:CH33">
    <cfRule type="expression" dxfId="42" priority="35">
      <formula>CE3=1</formula>
    </cfRule>
    <cfRule type="expression" dxfId="41" priority="36">
      <formula>CC3=1</formula>
    </cfRule>
    <cfRule type="expression" dxfId="40" priority="37">
      <formula>CD3=1</formula>
    </cfRule>
  </conditionalFormatting>
  <conditionalFormatting sqref="CI3:CI33">
    <cfRule type="expression" dxfId="39" priority="32">
      <formula>CE3=1</formula>
    </cfRule>
    <cfRule type="expression" dxfId="38" priority="33">
      <formula>CC3=1</formula>
    </cfRule>
    <cfRule type="expression" dxfId="37" priority="34">
      <formula>CD3=1</formula>
    </cfRule>
  </conditionalFormatting>
  <conditionalFormatting sqref="CS3:CS32">
    <cfRule type="expression" dxfId="36" priority="29">
      <formula>CP3=1</formula>
    </cfRule>
    <cfRule type="expression" dxfId="35" priority="30">
      <formula>CN3=1</formula>
    </cfRule>
    <cfRule type="expression" dxfId="34" priority="31">
      <formula>CO3=1</formula>
    </cfRule>
  </conditionalFormatting>
  <conditionalFormatting sqref="CT3:CT32">
    <cfRule type="expression" dxfId="33" priority="26">
      <formula>CP3=1</formula>
    </cfRule>
    <cfRule type="expression" dxfId="32" priority="27">
      <formula>CN3=1</formula>
    </cfRule>
    <cfRule type="expression" dxfId="31" priority="28">
      <formula>CO3=1</formula>
    </cfRule>
  </conditionalFormatting>
  <conditionalFormatting sqref="DD3:DD33">
    <cfRule type="expression" dxfId="30" priority="23">
      <formula>DA3=1</formula>
    </cfRule>
    <cfRule type="expression" dxfId="29" priority="24">
      <formula>CY3=1</formula>
    </cfRule>
    <cfRule type="expression" dxfId="28" priority="25">
      <formula>CZ3=1</formula>
    </cfRule>
  </conditionalFormatting>
  <conditionalFormatting sqref="DE3:DE33">
    <cfRule type="expression" dxfId="27" priority="20">
      <formula>DA3=1</formula>
    </cfRule>
    <cfRule type="expression" dxfId="26" priority="21">
      <formula>CY3=1</formula>
    </cfRule>
    <cfRule type="expression" dxfId="25" priority="22">
      <formula>CZ3=1</formula>
    </cfRule>
  </conditionalFormatting>
  <conditionalFormatting sqref="DO3:DO32">
    <cfRule type="expression" dxfId="24" priority="17">
      <formula>DL3=1</formula>
    </cfRule>
    <cfRule type="expression" dxfId="23" priority="18">
      <formula>DJ3=1</formula>
    </cfRule>
    <cfRule type="expression" dxfId="22" priority="19">
      <formula>DK3=1</formula>
    </cfRule>
  </conditionalFormatting>
  <conditionalFormatting sqref="DP3:DP32">
    <cfRule type="expression" dxfId="21" priority="14">
      <formula>DL3=1</formula>
    </cfRule>
    <cfRule type="expression" dxfId="20" priority="15">
      <formula>DJ3=1</formula>
    </cfRule>
    <cfRule type="expression" dxfId="19" priority="16">
      <formula>DK3=1</formula>
    </cfRule>
  </conditionalFormatting>
  <conditionalFormatting sqref="DZ3:DZ33">
    <cfRule type="expression" dxfId="18" priority="11">
      <formula>DW3=1</formula>
    </cfRule>
    <cfRule type="expression" dxfId="17" priority="12">
      <formula>DU3=1</formula>
    </cfRule>
    <cfRule type="expression" dxfId="16" priority="13">
      <formula>DV3=1</formula>
    </cfRule>
  </conditionalFormatting>
  <conditionalFormatting sqref="EA3:EA33">
    <cfRule type="expression" dxfId="15" priority="8">
      <formula>DW3=1</formula>
    </cfRule>
    <cfRule type="expression" dxfId="14" priority="9">
      <formula>DU3=1</formula>
    </cfRule>
    <cfRule type="expression" dxfId="13" priority="10">
      <formula>DV3=1</formula>
    </cfRule>
  </conditionalFormatting>
  <conditionalFormatting sqref="EK3:EK17">
    <cfRule type="expression" dxfId="12" priority="5">
      <formula>EH3=1</formula>
    </cfRule>
    <cfRule type="expression" dxfId="11" priority="6">
      <formula>EF3=1</formula>
    </cfRule>
    <cfRule type="expression" dxfId="10" priority="7">
      <formula>EG3=1</formula>
    </cfRule>
  </conditionalFormatting>
  <conditionalFormatting sqref="EL3:EL17">
    <cfRule type="expression" dxfId="9" priority="2">
      <formula>EH3=1</formula>
    </cfRule>
    <cfRule type="expression" dxfId="8" priority="3">
      <formula>EF3=1</formula>
    </cfRule>
    <cfRule type="expression" dxfId="7" priority="4">
      <formula>EG3=1</formula>
    </cfRule>
  </conditionalFormatting>
  <conditionalFormatting sqref="T3:T33">
    <cfRule type="expression" dxfId="6" priority="246">
      <formula>Q3=1</formula>
    </cfRule>
    <cfRule type="expression" dxfId="5" priority="247">
      <formula>P3=1</formula>
    </cfRule>
    <cfRule type="expression" dxfId="4" priority="248">
      <formula>O3=1</formula>
    </cfRule>
  </conditionalFormatting>
  <conditionalFormatting sqref="U3:U33">
    <cfRule type="expression" dxfId="3" priority="243">
      <formula>Q3=1</formula>
    </cfRule>
    <cfRule type="expression" dxfId="2" priority="244">
      <formula>P3=1</formula>
    </cfRule>
    <cfRule type="expression" dxfId="1" priority="245">
      <formula>O3=1</formula>
    </cfRule>
  </conditionalFormatting>
  <conditionalFormatting sqref="BW38:BW49">
    <cfRule type="expression" dxfId="0" priority="1">
      <formula>BT38=1</formula>
    </cfRule>
  </conditionalFormatting>
  <hyperlinks>
    <hyperlink ref="EB1" r:id="rId1" display="© www.kalenderpedia.de" xr:uid="{00000000-0004-0000-0000-000000000000}"/>
  </hyperlinks>
  <printOptions horizontalCentered="1" verticalCentered="1"/>
  <pageMargins left="0.51181102362204722" right="0.51181102362204722" top="0.27559055118110237" bottom="0.27559055118110237" header="0.27559055118110237" footer="0.27559055118110237"/>
  <pageSetup paperSize="9" scale="54" orientation="landscape" horizontalDpi="300" verticalDpi="30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export_holidays_ics">
                <anchor moveWithCells="1" sizeWithCells="1">
                  <from>
                    <xdr:col>108</xdr:col>
                    <xdr:colOff>228600</xdr:colOff>
                    <xdr:row>0</xdr:row>
                    <xdr:rowOff>139700</xdr:rowOff>
                  </from>
                  <to>
                    <xdr:col>120</xdr:col>
                    <xdr:colOff>165100</xdr:colOff>
                    <xdr:row>0</xdr:row>
                    <xdr:rowOff>520700</xdr:rowOff>
                  </to>
                </anchor>
              </controlPr>
            </control>
          </mc:Choice>
        </mc:AlternateContent>
        <mc:AlternateContent xmlns:mc="http://schemas.openxmlformats.org/markup-compatibility/2006">
          <mc:Choice Requires="x14">
            <control shapeId="10242" r:id="rId5" name="Button 2">
              <controlPr defaultSize="0" print="0" autoFill="0" autoPict="0" macro="[0]!export_public_holidays_ics">
                <anchor moveWithCells="1" sizeWithCells="1">
                  <from>
                    <xdr:col>121</xdr:col>
                    <xdr:colOff>88900</xdr:colOff>
                    <xdr:row>0</xdr:row>
                    <xdr:rowOff>139700</xdr:rowOff>
                  </from>
                  <to>
                    <xdr:col>132</xdr:col>
                    <xdr:colOff>279400</xdr:colOff>
                    <xdr:row>0</xdr:row>
                    <xdr:rowOff>520700</xdr:rowOff>
                  </to>
                </anchor>
              </controlPr>
            </control>
          </mc:Choice>
        </mc:AlternateContent>
        <mc:AlternateContent xmlns:mc="http://schemas.openxmlformats.org/markup-compatibility/2006">
          <mc:Choice Requires="x14">
            <control shapeId="10243" r:id="rId6" name="Button 3">
              <controlPr defaultSize="0" print="0" autoFill="0" autoPict="0" macro="[0]!export_residences_ics">
                <anchor moveWithCells="1" sizeWithCells="1">
                  <from>
                    <xdr:col>133</xdr:col>
                    <xdr:colOff>0</xdr:colOff>
                    <xdr:row>0</xdr:row>
                    <xdr:rowOff>139700</xdr:rowOff>
                  </from>
                  <to>
                    <xdr:col>144</xdr:col>
                    <xdr:colOff>203200</xdr:colOff>
                    <xdr:row>0</xdr:row>
                    <xdr:rowOff>520700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BB04A-74FD-7647-8C2C-AA19ED0A066E}">
  <sheetPr codeName="Tabelle2">
    <tabColor rgb="FF0070C0"/>
  </sheetPr>
  <dimension ref="A1:B96"/>
  <sheetViews>
    <sheetView showGridLines="0" workbookViewId="0">
      <selection activeCell="B7" sqref="B7"/>
    </sheetView>
  </sheetViews>
  <sheetFormatPr baseColWidth="10" defaultRowHeight="13"/>
  <cols>
    <col min="1" max="1" width="10.83203125" style="67"/>
    <col min="2" max="2" width="53.83203125" style="69" customWidth="1"/>
  </cols>
  <sheetData>
    <row r="1" spans="1:2">
      <c r="A1" s="70" t="s">
        <v>42</v>
      </c>
      <c r="B1" s="70" t="s">
        <v>52</v>
      </c>
    </row>
    <row r="2" spans="1:2">
      <c r="A2" s="67">
        <v>43101</v>
      </c>
      <c r="B2" s="68" t="s">
        <v>24</v>
      </c>
    </row>
    <row r="3" spans="1:2">
      <c r="A3" s="67">
        <v>43102</v>
      </c>
      <c r="B3" s="68" t="s">
        <v>24</v>
      </c>
    </row>
    <row r="4" spans="1:2">
      <c r="A4" s="67">
        <v>43103</v>
      </c>
      <c r="B4" s="68" t="s">
        <v>24</v>
      </c>
    </row>
    <row r="5" spans="1:2">
      <c r="A5" s="67">
        <v>43104</v>
      </c>
      <c r="B5" s="68" t="s">
        <v>24</v>
      </c>
    </row>
    <row r="6" spans="1:2">
      <c r="A6" s="67">
        <v>43105</v>
      </c>
      <c r="B6" s="68" t="s">
        <v>24</v>
      </c>
    </row>
    <row r="7" spans="1:2">
      <c r="A7" s="67">
        <v>43106</v>
      </c>
      <c r="B7" s="68" t="s">
        <v>24</v>
      </c>
    </row>
    <row r="8" spans="1:2">
      <c r="A8" s="67">
        <v>43107</v>
      </c>
      <c r="B8" s="68" t="s">
        <v>24</v>
      </c>
    </row>
    <row r="9" spans="1:2">
      <c r="A9" s="67">
        <v>43108</v>
      </c>
      <c r="B9" s="68" t="s">
        <v>24</v>
      </c>
    </row>
    <row r="10" spans="1:2">
      <c r="A10" s="67">
        <v>43109</v>
      </c>
      <c r="B10" s="68" t="s">
        <v>24</v>
      </c>
    </row>
    <row r="11" spans="1:2">
      <c r="A11" s="67">
        <v>43140</v>
      </c>
      <c r="B11" s="68" t="s">
        <v>27</v>
      </c>
    </row>
    <row r="12" spans="1:2">
      <c r="A12" s="67">
        <v>43143</v>
      </c>
      <c r="B12" s="68" t="s">
        <v>26</v>
      </c>
    </row>
    <row r="13" spans="1:2">
      <c r="A13" s="67">
        <v>43144</v>
      </c>
      <c r="B13" s="68" t="s">
        <v>26</v>
      </c>
    </row>
    <row r="14" spans="1:2">
      <c r="A14" s="67">
        <v>43185</v>
      </c>
      <c r="B14" s="68" t="s">
        <v>30</v>
      </c>
    </row>
    <row r="15" spans="1:2">
      <c r="A15" s="67">
        <v>43186</v>
      </c>
      <c r="B15" s="68" t="s">
        <v>30</v>
      </c>
    </row>
    <row r="16" spans="1:2">
      <c r="A16" s="67">
        <v>43187</v>
      </c>
      <c r="B16" s="68" t="s">
        <v>30</v>
      </c>
    </row>
    <row r="17" spans="1:2">
      <c r="A17" s="67">
        <v>43188</v>
      </c>
      <c r="B17" s="68" t="s">
        <v>30</v>
      </c>
    </row>
    <row r="18" spans="1:2">
      <c r="A18" s="67">
        <v>43189</v>
      </c>
      <c r="B18" s="68" t="s">
        <v>30</v>
      </c>
    </row>
    <row r="19" spans="1:2">
      <c r="A19" s="67">
        <v>43190</v>
      </c>
      <c r="B19" s="68" t="s">
        <v>30</v>
      </c>
    </row>
    <row r="20" spans="1:2">
      <c r="A20" s="67">
        <v>43191</v>
      </c>
      <c r="B20" s="68" t="s">
        <v>30</v>
      </c>
    </row>
    <row r="21" spans="1:2">
      <c r="A21" s="67">
        <v>43192</v>
      </c>
      <c r="B21" s="68" t="s">
        <v>30</v>
      </c>
    </row>
    <row r="22" spans="1:2">
      <c r="A22" s="67">
        <v>43193</v>
      </c>
      <c r="B22" s="68" t="s">
        <v>30</v>
      </c>
    </row>
    <row r="23" spans="1:2">
      <c r="A23" s="67">
        <v>43194</v>
      </c>
      <c r="B23" s="68" t="s">
        <v>30</v>
      </c>
    </row>
    <row r="24" spans="1:2">
      <c r="A24" s="67">
        <v>43195</v>
      </c>
      <c r="B24" s="68" t="s">
        <v>30</v>
      </c>
    </row>
    <row r="25" spans="1:2">
      <c r="A25" s="67">
        <v>43196</v>
      </c>
      <c r="B25" s="68" t="s">
        <v>30</v>
      </c>
    </row>
    <row r="26" spans="1:2">
      <c r="A26" s="67">
        <v>43220</v>
      </c>
      <c r="B26" s="68" t="s">
        <v>26</v>
      </c>
    </row>
    <row r="27" spans="1:2">
      <c r="A27" s="67">
        <v>43231</v>
      </c>
      <c r="B27" s="68" t="s">
        <v>26</v>
      </c>
    </row>
    <row r="28" spans="1:2">
      <c r="A28" s="67">
        <v>43252</v>
      </c>
      <c r="B28" s="68" t="s">
        <v>26</v>
      </c>
    </row>
    <row r="29" spans="1:2">
      <c r="A29" s="67">
        <v>43276</v>
      </c>
      <c r="B29" s="68" t="s">
        <v>38</v>
      </c>
    </row>
    <row r="30" spans="1:2">
      <c r="A30" s="67">
        <v>43277</v>
      </c>
      <c r="B30" s="68" t="s">
        <v>38</v>
      </c>
    </row>
    <row r="31" spans="1:2">
      <c r="A31" s="67">
        <v>43278</v>
      </c>
      <c r="B31" s="68" t="s">
        <v>38</v>
      </c>
    </row>
    <row r="32" spans="1:2">
      <c r="A32" s="67">
        <v>43279</v>
      </c>
      <c r="B32" s="68" t="s">
        <v>38</v>
      </c>
    </row>
    <row r="33" spans="1:2">
      <c r="A33" s="67">
        <v>43280</v>
      </c>
      <c r="B33" s="68" t="s">
        <v>38</v>
      </c>
    </row>
    <row r="34" spans="1:2">
      <c r="A34" s="67">
        <v>43281</v>
      </c>
      <c r="B34" s="68" t="s">
        <v>38</v>
      </c>
    </row>
    <row r="35" spans="1:2">
      <c r="A35" s="67">
        <v>43282</v>
      </c>
      <c r="B35" s="68" t="s">
        <v>38</v>
      </c>
    </row>
    <row r="36" spans="1:2">
      <c r="A36" s="67">
        <v>43283</v>
      </c>
      <c r="B36" s="68" t="s">
        <v>38</v>
      </c>
    </row>
    <row r="37" spans="1:2">
      <c r="A37" s="67">
        <v>43284</v>
      </c>
      <c r="B37" s="68" t="s">
        <v>38</v>
      </c>
    </row>
    <row r="38" spans="1:2">
      <c r="A38" s="67">
        <v>43285</v>
      </c>
      <c r="B38" s="68" t="s">
        <v>38</v>
      </c>
    </row>
    <row r="39" spans="1:2">
      <c r="A39" s="67">
        <v>43286</v>
      </c>
      <c r="B39" s="68" t="s">
        <v>38</v>
      </c>
    </row>
    <row r="40" spans="1:2">
      <c r="A40" s="67">
        <v>43287</v>
      </c>
      <c r="B40" s="68" t="s">
        <v>38</v>
      </c>
    </row>
    <row r="41" spans="1:2">
      <c r="A41" s="67">
        <v>43288</v>
      </c>
      <c r="B41" s="68" t="s">
        <v>38</v>
      </c>
    </row>
    <row r="42" spans="1:2">
      <c r="A42" s="67">
        <v>43289</v>
      </c>
      <c r="B42" s="68" t="s">
        <v>38</v>
      </c>
    </row>
    <row r="43" spans="1:2">
      <c r="A43" s="67">
        <v>43290</v>
      </c>
      <c r="B43" s="68" t="s">
        <v>38</v>
      </c>
    </row>
    <row r="44" spans="1:2">
      <c r="A44" s="67">
        <v>43291</v>
      </c>
      <c r="B44" s="68" t="s">
        <v>38</v>
      </c>
    </row>
    <row r="45" spans="1:2">
      <c r="A45" s="67">
        <v>43292</v>
      </c>
      <c r="B45" s="68" t="s">
        <v>38</v>
      </c>
    </row>
    <row r="46" spans="1:2">
      <c r="A46" s="67">
        <v>43293</v>
      </c>
      <c r="B46" s="68" t="s">
        <v>38</v>
      </c>
    </row>
    <row r="47" spans="1:2">
      <c r="A47" s="67">
        <v>43294</v>
      </c>
      <c r="B47" s="68" t="s">
        <v>38</v>
      </c>
    </row>
    <row r="48" spans="1:2">
      <c r="A48" s="67">
        <v>43295</v>
      </c>
      <c r="B48" s="68" t="s">
        <v>38</v>
      </c>
    </row>
    <row r="49" spans="1:2">
      <c r="A49" s="67">
        <v>43296</v>
      </c>
      <c r="B49" s="68" t="s">
        <v>38</v>
      </c>
    </row>
    <row r="50" spans="1:2">
      <c r="A50" s="67">
        <v>43297</v>
      </c>
      <c r="B50" s="68" t="s">
        <v>38</v>
      </c>
    </row>
    <row r="51" spans="1:2">
      <c r="A51" s="67">
        <v>43298</v>
      </c>
      <c r="B51" s="68" t="s">
        <v>38</v>
      </c>
    </row>
    <row r="52" spans="1:2">
      <c r="A52" s="67">
        <v>43299</v>
      </c>
      <c r="B52" s="68" t="s">
        <v>38</v>
      </c>
    </row>
    <row r="53" spans="1:2">
      <c r="A53" s="67">
        <v>43300</v>
      </c>
      <c r="B53" s="68" t="s">
        <v>38</v>
      </c>
    </row>
    <row r="54" spans="1:2">
      <c r="A54" s="67">
        <v>43301</v>
      </c>
      <c r="B54" s="68" t="s">
        <v>38</v>
      </c>
    </row>
    <row r="55" spans="1:2">
      <c r="A55" s="67">
        <v>43302</v>
      </c>
      <c r="B55" s="68" t="s">
        <v>38</v>
      </c>
    </row>
    <row r="56" spans="1:2">
      <c r="A56" s="67">
        <v>43303</v>
      </c>
      <c r="B56" s="68" t="s">
        <v>38</v>
      </c>
    </row>
    <row r="57" spans="1:2">
      <c r="A57" s="67">
        <v>43304</v>
      </c>
      <c r="B57" s="68" t="s">
        <v>38</v>
      </c>
    </row>
    <row r="58" spans="1:2">
      <c r="A58" s="67">
        <v>43305</v>
      </c>
      <c r="B58" s="68" t="s">
        <v>38</v>
      </c>
    </row>
    <row r="59" spans="1:2">
      <c r="A59" s="67">
        <v>43306</v>
      </c>
      <c r="B59" s="68" t="s">
        <v>38</v>
      </c>
    </row>
    <row r="60" spans="1:2">
      <c r="A60" s="67">
        <v>43307</v>
      </c>
      <c r="B60" s="68" t="s">
        <v>38</v>
      </c>
    </row>
    <row r="61" spans="1:2">
      <c r="A61" s="67">
        <v>43308</v>
      </c>
      <c r="B61" s="68" t="s">
        <v>38</v>
      </c>
    </row>
    <row r="62" spans="1:2">
      <c r="A62" s="67">
        <v>43309</v>
      </c>
      <c r="B62" s="68" t="s">
        <v>38</v>
      </c>
    </row>
    <row r="63" spans="1:2">
      <c r="A63" s="67">
        <v>43310</v>
      </c>
      <c r="B63" s="68" t="s">
        <v>38</v>
      </c>
    </row>
    <row r="64" spans="1:2">
      <c r="A64" s="67">
        <v>43311</v>
      </c>
      <c r="B64" s="68" t="s">
        <v>38</v>
      </c>
    </row>
    <row r="65" spans="1:2">
      <c r="A65" s="67">
        <v>43312</v>
      </c>
      <c r="B65" s="68" t="s">
        <v>38</v>
      </c>
    </row>
    <row r="66" spans="1:2">
      <c r="A66" s="67">
        <v>43313</v>
      </c>
      <c r="B66" s="68" t="s">
        <v>38</v>
      </c>
    </row>
    <row r="67" spans="1:2">
      <c r="A67" s="67">
        <v>43314</v>
      </c>
      <c r="B67" s="68" t="s">
        <v>38</v>
      </c>
    </row>
    <row r="68" spans="1:2">
      <c r="A68" s="67">
        <v>43315</v>
      </c>
      <c r="B68" s="68" t="s">
        <v>38</v>
      </c>
    </row>
    <row r="69" spans="1:2">
      <c r="A69" s="67">
        <v>43374</v>
      </c>
      <c r="B69" s="68" t="s">
        <v>39</v>
      </c>
    </row>
    <row r="70" spans="1:2">
      <c r="A70" s="67">
        <v>43375</v>
      </c>
      <c r="B70" s="68" t="s">
        <v>39</v>
      </c>
    </row>
    <row r="71" spans="1:2">
      <c r="A71" s="67">
        <v>43376</v>
      </c>
      <c r="B71" s="68" t="s">
        <v>39</v>
      </c>
    </row>
    <row r="72" spans="1:2">
      <c r="A72" s="67">
        <v>43377</v>
      </c>
      <c r="B72" s="68" t="s">
        <v>39</v>
      </c>
    </row>
    <row r="73" spans="1:2">
      <c r="A73" s="67">
        <v>43378</v>
      </c>
      <c r="B73" s="68" t="s">
        <v>39</v>
      </c>
    </row>
    <row r="74" spans="1:2">
      <c r="A74" s="67">
        <v>43379</v>
      </c>
      <c r="B74" s="68" t="s">
        <v>39</v>
      </c>
    </row>
    <row r="75" spans="1:2">
      <c r="A75" s="67">
        <v>43380</v>
      </c>
      <c r="B75" s="68" t="s">
        <v>39</v>
      </c>
    </row>
    <row r="76" spans="1:2">
      <c r="A76" s="67">
        <v>43381</v>
      </c>
      <c r="B76" s="68" t="s">
        <v>39</v>
      </c>
    </row>
    <row r="77" spans="1:2">
      <c r="A77" s="67">
        <v>43382</v>
      </c>
      <c r="B77" s="68" t="s">
        <v>39</v>
      </c>
    </row>
    <row r="78" spans="1:2">
      <c r="A78" s="67">
        <v>43383</v>
      </c>
      <c r="B78" s="68" t="s">
        <v>39</v>
      </c>
    </row>
    <row r="79" spans="1:2">
      <c r="A79" s="67">
        <v>43384</v>
      </c>
      <c r="B79" s="68" t="s">
        <v>39</v>
      </c>
    </row>
    <row r="80" spans="1:2">
      <c r="A80" s="67">
        <v>43385</v>
      </c>
      <c r="B80" s="68" t="s">
        <v>39</v>
      </c>
    </row>
    <row r="81" spans="1:2">
      <c r="A81" s="67">
        <v>43454</v>
      </c>
      <c r="B81" s="68" t="s">
        <v>24</v>
      </c>
    </row>
    <row r="82" spans="1:2">
      <c r="A82" s="67">
        <v>43455</v>
      </c>
      <c r="B82" s="68" t="s">
        <v>24</v>
      </c>
    </row>
    <row r="83" spans="1:2">
      <c r="A83" s="67">
        <v>43456</v>
      </c>
      <c r="B83" s="68" t="s">
        <v>24</v>
      </c>
    </row>
    <row r="84" spans="1:2">
      <c r="A84" s="67">
        <v>43457</v>
      </c>
      <c r="B84" s="68" t="s">
        <v>24</v>
      </c>
    </row>
    <row r="85" spans="1:2">
      <c r="A85" s="67">
        <v>43458</v>
      </c>
      <c r="B85" s="68" t="s">
        <v>24</v>
      </c>
    </row>
    <row r="86" spans="1:2">
      <c r="A86" s="67">
        <v>43459</v>
      </c>
      <c r="B86" s="68" t="s">
        <v>24</v>
      </c>
    </row>
    <row r="87" spans="1:2">
      <c r="A87" s="67">
        <v>43460</v>
      </c>
      <c r="B87" s="68" t="s">
        <v>24</v>
      </c>
    </row>
    <row r="88" spans="1:2">
      <c r="A88" s="67">
        <v>43461</v>
      </c>
      <c r="B88" s="68" t="s">
        <v>24</v>
      </c>
    </row>
    <row r="89" spans="1:2">
      <c r="A89" s="67">
        <v>43462</v>
      </c>
      <c r="B89" s="68" t="s">
        <v>24</v>
      </c>
    </row>
    <row r="90" spans="1:2">
      <c r="A90" s="67">
        <v>43463</v>
      </c>
      <c r="B90" s="68" t="s">
        <v>24</v>
      </c>
    </row>
    <row r="91" spans="1:2">
      <c r="A91" s="67">
        <v>43464</v>
      </c>
      <c r="B91" s="68" t="s">
        <v>24</v>
      </c>
    </row>
    <row r="92" spans="1:2">
      <c r="A92" s="67">
        <v>43465</v>
      </c>
      <c r="B92" s="68" t="s">
        <v>24</v>
      </c>
    </row>
    <row r="93" spans="1:2">
      <c r="A93" s="67">
        <v>43466</v>
      </c>
      <c r="B93" s="68" t="s">
        <v>24</v>
      </c>
    </row>
    <row r="94" spans="1:2">
      <c r="A94" s="67">
        <v>43467</v>
      </c>
      <c r="B94" s="68" t="s">
        <v>24</v>
      </c>
    </row>
    <row r="95" spans="1:2">
      <c r="A95" s="67">
        <v>43468</v>
      </c>
      <c r="B95" s="68" t="s">
        <v>24</v>
      </c>
    </row>
    <row r="96" spans="1:2">
      <c r="A96" s="67">
        <v>43469</v>
      </c>
      <c r="B96" s="68" t="s">
        <v>24</v>
      </c>
    </row>
  </sheetData>
  <sheetProtection algorithmName="SHA-512" hashValue="ooiAU+u07bhHLLdjgQOQAxyavRJGro3vJUVbTEo9du5v/60rTSmV7UY8pBLa7uIcJeI9Mq/pxL0fpE6cN69qzw==" saltValue="5gAf0rokSR1Vu36/qHoWlA==" spinCount="100000" sheet="1" objects="1" scenarios="1" formatColumns="0" selectLockedCells="1"/>
  <customSheetViews>
    <customSheetView guid="{19F2C78B-640B-4445-8A9B-8FF71EE799BF}">
      <selection activeCell="B6" sqref="B6"/>
      <pageMargins left="0.7" right="0.7" top="0.78740157499999996" bottom="0.78740157499999996" header="0.3" footer="0.3"/>
    </customSheetView>
    <customSheetView guid="{C000300E-3872-7844-B072-10EE917F89C0}">
      <selection activeCell="B8" sqref="B8"/>
      <pageMargins left="0.7" right="0.7" top="0.78740157499999996" bottom="0.78740157499999996" header="0.3" footer="0.3"/>
    </customSheetView>
  </customSheetView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1054B-9D00-F345-AABB-5081E2C64564}">
  <sheetPr codeName="Tabelle3">
    <tabColor rgb="FF0070C0"/>
  </sheetPr>
  <dimension ref="A1:B13"/>
  <sheetViews>
    <sheetView showGridLines="0" workbookViewId="0">
      <selection activeCell="B15" sqref="B15"/>
    </sheetView>
  </sheetViews>
  <sheetFormatPr baseColWidth="10" defaultRowHeight="13"/>
  <cols>
    <col min="1" max="1" width="10.83203125" style="67"/>
    <col min="2" max="2" width="58.1640625" style="72" customWidth="1"/>
    <col min="3" max="16384" width="10.83203125" style="56"/>
  </cols>
  <sheetData>
    <row r="1" spans="1:2">
      <c r="A1" s="70" t="s">
        <v>42</v>
      </c>
      <c r="B1" s="70" t="s">
        <v>52</v>
      </c>
    </row>
    <row r="2" spans="1:2">
      <c r="A2" s="67">
        <v>43101</v>
      </c>
      <c r="B2" s="71" t="s">
        <v>12</v>
      </c>
    </row>
    <row r="3" spans="1:2">
      <c r="A3" s="67">
        <v>43189</v>
      </c>
      <c r="B3" s="71" t="s">
        <v>28</v>
      </c>
    </row>
    <row r="4" spans="1:2">
      <c r="A4" s="67">
        <v>43192</v>
      </c>
      <c r="B4" s="71" t="s">
        <v>29</v>
      </c>
    </row>
    <row r="5" spans="1:2">
      <c r="A5" s="67">
        <v>43221</v>
      </c>
      <c r="B5" s="71" t="s">
        <v>13</v>
      </c>
    </row>
    <row r="6" spans="1:2">
      <c r="A6" s="67">
        <v>43230</v>
      </c>
      <c r="B6" s="71" t="s">
        <v>31</v>
      </c>
    </row>
    <row r="7" spans="1:2">
      <c r="A7" s="67">
        <v>43241</v>
      </c>
      <c r="B7" s="71" t="s">
        <v>32</v>
      </c>
    </row>
    <row r="8" spans="1:2">
      <c r="A8" s="67">
        <v>43251</v>
      </c>
      <c r="B8" s="71" t="s">
        <v>33</v>
      </c>
    </row>
    <row r="9" spans="1:2">
      <c r="A9" s="67">
        <v>43376</v>
      </c>
      <c r="B9" s="71" t="s">
        <v>34</v>
      </c>
    </row>
    <row r="10" spans="1:2">
      <c r="A10" s="67">
        <v>43405</v>
      </c>
      <c r="B10" s="71" t="s">
        <v>35</v>
      </c>
    </row>
    <row r="11" spans="1:2">
      <c r="A11" s="67">
        <v>43459</v>
      </c>
      <c r="B11" s="71" t="s">
        <v>36</v>
      </c>
    </row>
    <row r="12" spans="1:2">
      <c r="A12" s="67">
        <v>43460</v>
      </c>
      <c r="B12" s="71" t="s">
        <v>37</v>
      </c>
    </row>
    <row r="13" spans="1:2">
      <c r="A13" s="67">
        <v>43466</v>
      </c>
      <c r="B13" s="71" t="s">
        <v>12</v>
      </c>
    </row>
  </sheetData>
  <sheetProtection algorithmName="SHA-512" hashValue="FN+z/nkbQlgqZBYOuKdOEyIOSTjeQVa1e/44wF5wJ9sTwICh3jrqekxjMOtcVG2g2XFyHyvAIYZVl3uccrJBkw==" saltValue="KklGx98SQI/LDMUNwfFleA==" spinCount="100000" sheet="1" objects="1" scenarios="1" formatColumns="0" selectLockedCells="1"/>
  <customSheetViews>
    <customSheetView guid="{19F2C78B-640B-4445-8A9B-8FF71EE799BF}">
      <selection activeCell="B2" sqref="B2"/>
      <pageMargins left="0.7" right="0.7" top="0.78740157499999996" bottom="0.78740157499999996" header="0.3" footer="0.3"/>
    </customSheetView>
    <customSheetView guid="{C000300E-3872-7844-B072-10EE917F89C0}">
      <selection sqref="A1:B1"/>
      <pageMargins left="0.7" right="0.7" top="0.78740157499999996" bottom="0.78740157499999996" header="0.3" footer="0.3"/>
    </customSheetView>
  </customSheetView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E461C-FA2B-DF4E-B079-231C7AF1D489}">
  <sheetPr codeName="Tabelle4">
    <tabColor rgb="FF0070C0"/>
  </sheetPr>
  <dimension ref="A1:B10"/>
  <sheetViews>
    <sheetView showGridLines="0" workbookViewId="0">
      <selection activeCell="B15" sqref="B15"/>
    </sheetView>
  </sheetViews>
  <sheetFormatPr baseColWidth="10" defaultRowHeight="13"/>
  <cols>
    <col min="1" max="1" width="10.83203125" style="67"/>
    <col min="2" max="2" width="64.33203125" style="72" customWidth="1"/>
    <col min="3" max="16384" width="10.83203125" style="56"/>
  </cols>
  <sheetData>
    <row r="1" spans="1:2">
      <c r="A1" s="70" t="s">
        <v>42</v>
      </c>
      <c r="B1" s="70" t="s">
        <v>52</v>
      </c>
    </row>
    <row r="2" spans="1:2">
      <c r="A2" s="67">
        <v>43230</v>
      </c>
      <c r="B2" s="71" t="s">
        <v>57</v>
      </c>
    </row>
    <row r="3" spans="1:2">
      <c r="A3" s="67">
        <v>43233</v>
      </c>
      <c r="B3" s="71" t="s">
        <v>51</v>
      </c>
    </row>
    <row r="4" spans="1:2">
      <c r="A4" s="67">
        <v>43330</v>
      </c>
      <c r="B4" s="71" t="s">
        <v>73</v>
      </c>
    </row>
    <row r="5" spans="1:2">
      <c r="A5" s="67">
        <v>43299</v>
      </c>
      <c r="B5" s="71" t="s">
        <v>74</v>
      </c>
    </row>
    <row r="6" spans="1:2">
      <c r="A6" s="67">
        <v>43361</v>
      </c>
      <c r="B6" s="71" t="s">
        <v>75</v>
      </c>
    </row>
    <row r="7" spans="1:2">
      <c r="B7" s="71"/>
    </row>
    <row r="8" spans="1:2">
      <c r="B8" s="71"/>
    </row>
    <row r="9" spans="1:2">
      <c r="B9" s="71"/>
    </row>
    <row r="10" spans="1:2">
      <c r="B10" s="71"/>
    </row>
  </sheetData>
  <sheetProtection algorithmName="SHA-512" hashValue="nuAFPMupUSaHqrcvYTBt4l1At+o6lPfaVOePOTTdqnsX/CfV2nj+MFjdRZek1HB3Q/3tNEr9F0JMfSND0vTBiQ==" saltValue="BSlRP+54q768N0nCQB8fWA==" spinCount="100000" sheet="1" objects="1" scenarios="1" formatColumns="0" selectLockedCells="1"/>
  <customSheetViews>
    <customSheetView guid="{19F2C78B-640B-4445-8A9B-8FF71EE799BF}">
      <selection activeCell="A4" sqref="A4"/>
      <pageMargins left="0.7" right="0.7" top="0.78740157499999996" bottom="0.78740157499999996" header="0.3" footer="0.3"/>
    </customSheetView>
    <customSheetView guid="{C000300E-3872-7844-B072-10EE917F89C0}">
      <selection activeCell="B7" sqref="B7"/>
      <pageMargins left="0.7" right="0.7" top="0.78740157499999996" bottom="0.78740157499999996" header="0.3" footer="0.3"/>
    </customSheetView>
  </customSheetView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BD471-38CD-0544-AD79-4D28533AE8A1}">
  <sheetPr codeName="Tabelle6">
    <tabColor rgb="FF0070C0"/>
  </sheetPr>
  <dimension ref="A1:I396"/>
  <sheetViews>
    <sheetView showGridLines="0" zoomScaleNormal="100" workbookViewId="0">
      <selection activeCell="B381" sqref="B381:D395"/>
    </sheetView>
  </sheetViews>
  <sheetFormatPr baseColWidth="10" defaultRowHeight="13"/>
  <cols>
    <col min="1" max="1" width="10.83203125" style="79"/>
    <col min="2" max="2" width="26" style="80" customWidth="1"/>
    <col min="3" max="3" width="12.83203125" style="77" customWidth="1"/>
    <col min="4" max="4" width="13.33203125" style="77" customWidth="1"/>
    <col min="5" max="6" width="14" style="77" hidden="1" customWidth="1"/>
    <col min="7" max="7" width="9.83203125" style="78" hidden="1" customWidth="1"/>
    <col min="8" max="8" width="10.83203125" style="80"/>
    <col min="9" max="16384" width="10.83203125" style="56"/>
  </cols>
  <sheetData>
    <row r="1" spans="1:9" ht="18" customHeight="1">
      <c r="A1" s="83" t="s">
        <v>42</v>
      </c>
      <c r="B1" s="84" t="s">
        <v>43</v>
      </c>
      <c r="C1" s="85" t="s">
        <v>44</v>
      </c>
      <c r="D1" s="85" t="s">
        <v>45</v>
      </c>
      <c r="E1" s="81" t="s">
        <v>46</v>
      </c>
      <c r="F1" s="73" t="s">
        <v>47</v>
      </c>
      <c r="G1" s="74" t="s">
        <v>48</v>
      </c>
      <c r="H1" s="56"/>
    </row>
    <row r="2" spans="1:9" ht="18" customHeight="1">
      <c r="A2" s="130" t="s">
        <v>0</v>
      </c>
      <c r="B2" s="130"/>
      <c r="C2" s="130"/>
      <c r="D2" s="130"/>
      <c r="E2" s="131"/>
      <c r="F2" s="131"/>
      <c r="G2" s="132"/>
      <c r="H2" s="56"/>
    </row>
    <row r="3" spans="1:9" ht="18" customHeight="1">
      <c r="A3" s="86">
        <f>DATE(Konfiguration!$B$2,1,1)</f>
        <v>43101</v>
      </c>
      <c r="B3" s="87" t="s">
        <v>41</v>
      </c>
      <c r="C3" s="88"/>
      <c r="D3" s="88"/>
      <c r="E3" s="82">
        <f>IF(C3="",TIME(0,0,0),C3)</f>
        <v>0</v>
      </c>
      <c r="F3" s="75">
        <f>IF(D3="",TIME(23,59,59),D3)</f>
        <v>0.99998842592592585</v>
      </c>
      <c r="G3" s="76" t="str">
        <f t="shared" ref="G3:G33" si="0">IF(C3="","",TEXT(C3,"HH:MM"))&amp; LINE_BREAK  &amp; IF(D3="","",TEXT(D3,"HH:MM"))</f>
        <v xml:space="preserve">
</v>
      </c>
      <c r="H3" s="56"/>
      <c r="I3" s="53"/>
    </row>
    <row r="4" spans="1:9" ht="18" customHeight="1">
      <c r="A4" s="86">
        <f>A3+1</f>
        <v>43102</v>
      </c>
      <c r="B4" s="87" t="s">
        <v>41</v>
      </c>
      <c r="C4" s="88"/>
      <c r="D4" s="88"/>
      <c r="E4" s="82">
        <f t="shared" ref="E4:E27" si="1">IF(C4="",TIME(0,0,0),C4)</f>
        <v>0</v>
      </c>
      <c r="F4" s="75">
        <f t="shared" ref="F4:F67" si="2">IF(D4="",TIME(23,59,59),D4)</f>
        <v>0.99998842592592585</v>
      </c>
      <c r="G4" s="76" t="str">
        <f t="shared" si="0"/>
        <v xml:space="preserve">
</v>
      </c>
      <c r="H4" s="56"/>
    </row>
    <row r="5" spans="1:9" ht="18" customHeight="1">
      <c r="A5" s="86">
        <f t="shared" ref="A5:A33" si="3">A4+1</f>
        <v>43103</v>
      </c>
      <c r="B5" s="87" t="s">
        <v>40</v>
      </c>
      <c r="C5" s="88">
        <v>0.375</v>
      </c>
      <c r="D5" s="88"/>
      <c r="E5" s="82">
        <f t="shared" si="1"/>
        <v>0.375</v>
      </c>
      <c r="F5" s="75">
        <f t="shared" si="2"/>
        <v>0.99998842592592585</v>
      </c>
      <c r="G5" s="76" t="str">
        <f t="shared" si="0"/>
        <v xml:space="preserve">09:00
</v>
      </c>
      <c r="H5" s="56"/>
    </row>
    <row r="6" spans="1:9" ht="18" customHeight="1">
      <c r="A6" s="86">
        <f t="shared" si="3"/>
        <v>43104</v>
      </c>
      <c r="B6" s="87" t="s">
        <v>40</v>
      </c>
      <c r="C6" s="88"/>
      <c r="D6" s="88"/>
      <c r="E6" s="82">
        <f t="shared" si="1"/>
        <v>0</v>
      </c>
      <c r="F6" s="75">
        <f t="shared" si="2"/>
        <v>0.99998842592592585</v>
      </c>
      <c r="G6" s="76" t="str">
        <f t="shared" si="0"/>
        <v xml:space="preserve">
</v>
      </c>
      <c r="H6" s="56"/>
    </row>
    <row r="7" spans="1:9" ht="18" customHeight="1">
      <c r="A7" s="86">
        <f t="shared" si="3"/>
        <v>43105</v>
      </c>
      <c r="B7" s="87" t="s">
        <v>40</v>
      </c>
      <c r="C7" s="88"/>
      <c r="D7" s="88"/>
      <c r="E7" s="82">
        <f t="shared" si="1"/>
        <v>0</v>
      </c>
      <c r="F7" s="75">
        <f t="shared" si="2"/>
        <v>0.99998842592592585</v>
      </c>
      <c r="G7" s="76" t="str">
        <f t="shared" si="0"/>
        <v xml:space="preserve">
</v>
      </c>
      <c r="H7" s="56"/>
    </row>
    <row r="8" spans="1:9" ht="18" customHeight="1">
      <c r="A8" s="86">
        <f t="shared" si="3"/>
        <v>43106</v>
      </c>
      <c r="B8" s="87" t="s">
        <v>40</v>
      </c>
      <c r="C8" s="88"/>
      <c r="D8" s="88"/>
      <c r="E8" s="82">
        <f t="shared" si="1"/>
        <v>0</v>
      </c>
      <c r="F8" s="75">
        <f t="shared" si="2"/>
        <v>0.99998842592592585</v>
      </c>
      <c r="G8" s="76" t="str">
        <f t="shared" si="0"/>
        <v xml:space="preserve">
</v>
      </c>
      <c r="H8" s="56"/>
    </row>
    <row r="9" spans="1:9" ht="18" customHeight="1">
      <c r="A9" s="86">
        <f t="shared" si="3"/>
        <v>43107</v>
      </c>
      <c r="B9" s="87" t="s">
        <v>40</v>
      </c>
      <c r="C9" s="88"/>
      <c r="D9" s="88"/>
      <c r="E9" s="82">
        <f t="shared" si="1"/>
        <v>0</v>
      </c>
      <c r="F9" s="75">
        <f t="shared" si="2"/>
        <v>0.99998842592592585</v>
      </c>
      <c r="G9" s="76" t="str">
        <f t="shared" si="0"/>
        <v xml:space="preserve">
</v>
      </c>
      <c r="H9" s="56"/>
    </row>
    <row r="10" spans="1:9" ht="18" customHeight="1">
      <c r="A10" s="86">
        <f t="shared" si="3"/>
        <v>43108</v>
      </c>
      <c r="B10" s="87" t="s">
        <v>40</v>
      </c>
      <c r="C10" s="88"/>
      <c r="D10" s="88"/>
      <c r="E10" s="82">
        <f t="shared" si="1"/>
        <v>0</v>
      </c>
      <c r="F10" s="75">
        <f t="shared" si="2"/>
        <v>0.99998842592592585</v>
      </c>
      <c r="G10" s="76" t="str">
        <f t="shared" si="0"/>
        <v xml:space="preserve">
</v>
      </c>
      <c r="H10" s="56"/>
    </row>
    <row r="11" spans="1:9" ht="18" customHeight="1">
      <c r="A11" s="86">
        <f t="shared" si="3"/>
        <v>43109</v>
      </c>
      <c r="B11" s="87" t="s">
        <v>40</v>
      </c>
      <c r="C11" s="88"/>
      <c r="D11" s="88">
        <v>0.70833333333333337</v>
      </c>
      <c r="E11" s="82">
        <f t="shared" si="1"/>
        <v>0</v>
      </c>
      <c r="F11" s="75">
        <f t="shared" si="2"/>
        <v>0.70833333333333337</v>
      </c>
      <c r="G11" s="76" t="str">
        <f t="shared" si="0"/>
        <v xml:space="preserve">
17:00</v>
      </c>
      <c r="H11" s="56"/>
    </row>
    <row r="12" spans="1:9" ht="18" customHeight="1">
      <c r="A12" s="86">
        <f t="shared" si="3"/>
        <v>43110</v>
      </c>
      <c r="B12" s="87" t="s">
        <v>41</v>
      </c>
      <c r="C12" s="88"/>
      <c r="D12" s="88"/>
      <c r="E12" s="82">
        <f t="shared" si="1"/>
        <v>0</v>
      </c>
      <c r="F12" s="75">
        <f t="shared" si="2"/>
        <v>0.99998842592592585</v>
      </c>
      <c r="G12" s="76" t="str">
        <f t="shared" si="0"/>
        <v xml:space="preserve">
</v>
      </c>
      <c r="H12" s="56"/>
    </row>
    <row r="13" spans="1:9" ht="18" customHeight="1">
      <c r="A13" s="86">
        <f t="shared" si="3"/>
        <v>43111</v>
      </c>
      <c r="B13" s="87" t="s">
        <v>41</v>
      </c>
      <c r="C13" s="88"/>
      <c r="D13" s="88"/>
      <c r="E13" s="82">
        <f t="shared" si="1"/>
        <v>0</v>
      </c>
      <c r="F13" s="75">
        <f t="shared" si="2"/>
        <v>0.99998842592592585</v>
      </c>
      <c r="G13" s="76" t="str">
        <f t="shared" si="0"/>
        <v xml:space="preserve">
</v>
      </c>
      <c r="H13" s="56"/>
    </row>
    <row r="14" spans="1:9" ht="18" customHeight="1">
      <c r="A14" s="86">
        <f t="shared" si="3"/>
        <v>43112</v>
      </c>
      <c r="B14" s="87" t="s">
        <v>40</v>
      </c>
      <c r="C14" s="88">
        <v>0.70833333333333337</v>
      </c>
      <c r="D14" s="88"/>
      <c r="E14" s="82">
        <f t="shared" si="1"/>
        <v>0.70833333333333337</v>
      </c>
      <c r="F14" s="75">
        <f t="shared" si="2"/>
        <v>0.99998842592592585</v>
      </c>
      <c r="G14" s="76" t="str">
        <f t="shared" si="0"/>
        <v xml:space="preserve">17:00
</v>
      </c>
      <c r="H14" s="56"/>
    </row>
    <row r="15" spans="1:9" ht="18" customHeight="1">
      <c r="A15" s="86">
        <f t="shared" si="3"/>
        <v>43113</v>
      </c>
      <c r="B15" s="87" t="s">
        <v>40</v>
      </c>
      <c r="C15" s="88"/>
      <c r="D15" s="88"/>
      <c r="E15" s="82">
        <f t="shared" si="1"/>
        <v>0</v>
      </c>
      <c r="F15" s="75">
        <f t="shared" si="2"/>
        <v>0.99998842592592585</v>
      </c>
      <c r="G15" s="76" t="str">
        <f t="shared" si="0"/>
        <v xml:space="preserve">
</v>
      </c>
      <c r="H15" s="56"/>
    </row>
    <row r="16" spans="1:9" ht="18" customHeight="1">
      <c r="A16" s="86">
        <f t="shared" si="3"/>
        <v>43114</v>
      </c>
      <c r="B16" s="87" t="s">
        <v>40</v>
      </c>
      <c r="C16" s="88"/>
      <c r="D16" s="88">
        <v>0.72916666666666663</v>
      </c>
      <c r="E16" s="82">
        <f t="shared" si="1"/>
        <v>0</v>
      </c>
      <c r="F16" s="75">
        <f t="shared" si="2"/>
        <v>0.72916666666666663</v>
      </c>
      <c r="G16" s="76" t="str">
        <f t="shared" si="0"/>
        <v xml:space="preserve">
17:30</v>
      </c>
      <c r="H16" s="56"/>
    </row>
    <row r="17" spans="1:7" s="56" customFormat="1" ht="18" customHeight="1">
      <c r="A17" s="86">
        <f t="shared" si="3"/>
        <v>43115</v>
      </c>
      <c r="B17" s="87" t="s">
        <v>41</v>
      </c>
      <c r="C17" s="88"/>
      <c r="D17" s="88"/>
      <c r="E17" s="82">
        <f t="shared" si="1"/>
        <v>0</v>
      </c>
      <c r="F17" s="75">
        <f t="shared" si="2"/>
        <v>0.99998842592592585</v>
      </c>
      <c r="G17" s="76" t="str">
        <f t="shared" si="0"/>
        <v xml:space="preserve">
</v>
      </c>
    </row>
    <row r="18" spans="1:7" s="56" customFormat="1" ht="18" customHeight="1">
      <c r="A18" s="86">
        <f t="shared" si="3"/>
        <v>43116</v>
      </c>
      <c r="B18" s="87" t="s">
        <v>41</v>
      </c>
      <c r="C18" s="88"/>
      <c r="D18" s="88"/>
      <c r="E18" s="82">
        <f t="shared" si="1"/>
        <v>0</v>
      </c>
      <c r="F18" s="75">
        <f t="shared" si="2"/>
        <v>0.99998842592592585</v>
      </c>
      <c r="G18" s="76" t="str">
        <f t="shared" si="0"/>
        <v xml:space="preserve">
</v>
      </c>
    </row>
    <row r="19" spans="1:7" s="56" customFormat="1" ht="18" customHeight="1">
      <c r="A19" s="86">
        <f t="shared" si="3"/>
        <v>43117</v>
      </c>
      <c r="B19" s="87" t="s">
        <v>41</v>
      </c>
      <c r="C19" s="88"/>
      <c r="D19" s="88"/>
      <c r="E19" s="82">
        <f t="shared" si="1"/>
        <v>0</v>
      </c>
      <c r="F19" s="75">
        <f t="shared" si="2"/>
        <v>0.99998842592592585</v>
      </c>
      <c r="G19" s="76" t="str">
        <f t="shared" si="0"/>
        <v xml:space="preserve">
</v>
      </c>
    </row>
    <row r="20" spans="1:7" s="56" customFormat="1" ht="18" customHeight="1">
      <c r="A20" s="86">
        <f t="shared" si="3"/>
        <v>43118</v>
      </c>
      <c r="B20" s="87" t="s">
        <v>40</v>
      </c>
      <c r="C20" s="88">
        <v>0.41666666666666669</v>
      </c>
      <c r="D20" s="88">
        <v>0.83333333333333337</v>
      </c>
      <c r="E20" s="82">
        <f t="shared" si="1"/>
        <v>0.41666666666666669</v>
      </c>
      <c r="F20" s="75">
        <f t="shared" si="2"/>
        <v>0.83333333333333337</v>
      </c>
      <c r="G20" s="76" t="str">
        <f t="shared" si="0"/>
        <v>10:00
20:00</v>
      </c>
    </row>
    <row r="21" spans="1:7" s="56" customFormat="1" ht="18" customHeight="1">
      <c r="A21" s="86">
        <f t="shared" si="3"/>
        <v>43119</v>
      </c>
      <c r="B21" s="87" t="s">
        <v>41</v>
      </c>
      <c r="C21" s="88"/>
      <c r="D21" s="88"/>
      <c r="E21" s="82">
        <f t="shared" si="1"/>
        <v>0</v>
      </c>
      <c r="F21" s="75">
        <f t="shared" si="2"/>
        <v>0.99998842592592585</v>
      </c>
      <c r="G21" s="76" t="str">
        <f t="shared" si="0"/>
        <v xml:space="preserve">
</v>
      </c>
    </row>
    <row r="22" spans="1:7" s="56" customFormat="1" ht="18" customHeight="1">
      <c r="A22" s="86">
        <f t="shared" si="3"/>
        <v>43120</v>
      </c>
      <c r="B22" s="87" t="s">
        <v>41</v>
      </c>
      <c r="C22" s="88"/>
      <c r="D22" s="88"/>
      <c r="E22" s="82">
        <f t="shared" si="1"/>
        <v>0</v>
      </c>
      <c r="F22" s="75">
        <f t="shared" si="2"/>
        <v>0.99998842592592585</v>
      </c>
      <c r="G22" s="76" t="str">
        <f t="shared" si="0"/>
        <v xml:space="preserve">
</v>
      </c>
    </row>
    <row r="23" spans="1:7" s="56" customFormat="1" ht="18" customHeight="1">
      <c r="A23" s="86">
        <f t="shared" si="3"/>
        <v>43121</v>
      </c>
      <c r="B23" s="87" t="s">
        <v>41</v>
      </c>
      <c r="C23" s="88"/>
      <c r="D23" s="88"/>
      <c r="E23" s="82">
        <f t="shared" si="1"/>
        <v>0</v>
      </c>
      <c r="F23" s="75">
        <f t="shared" si="2"/>
        <v>0.99998842592592585</v>
      </c>
      <c r="G23" s="76" t="str">
        <f t="shared" si="0"/>
        <v xml:space="preserve">
</v>
      </c>
    </row>
    <row r="24" spans="1:7" s="56" customFormat="1" ht="18" customHeight="1">
      <c r="A24" s="86">
        <f t="shared" si="3"/>
        <v>43122</v>
      </c>
      <c r="B24" s="87" t="s">
        <v>41</v>
      </c>
      <c r="C24" s="88"/>
      <c r="D24" s="88"/>
      <c r="E24" s="82">
        <f t="shared" si="1"/>
        <v>0</v>
      </c>
      <c r="F24" s="75">
        <f t="shared" si="2"/>
        <v>0.99998842592592585</v>
      </c>
      <c r="G24" s="76" t="str">
        <f t="shared" si="0"/>
        <v xml:space="preserve">
</v>
      </c>
    </row>
    <row r="25" spans="1:7" s="56" customFormat="1" ht="18" customHeight="1">
      <c r="A25" s="86">
        <f t="shared" si="3"/>
        <v>43123</v>
      </c>
      <c r="B25" s="87" t="s">
        <v>41</v>
      </c>
      <c r="C25" s="88"/>
      <c r="D25" s="88"/>
      <c r="E25" s="82">
        <f t="shared" si="1"/>
        <v>0</v>
      </c>
      <c r="F25" s="75">
        <f t="shared" si="2"/>
        <v>0.99998842592592585</v>
      </c>
      <c r="G25" s="76" t="str">
        <f t="shared" si="0"/>
        <v xml:space="preserve">
</v>
      </c>
    </row>
    <row r="26" spans="1:7" s="56" customFormat="1" ht="18" customHeight="1">
      <c r="A26" s="86">
        <f t="shared" si="3"/>
        <v>43124</v>
      </c>
      <c r="B26" s="87" t="s">
        <v>41</v>
      </c>
      <c r="C26" s="88"/>
      <c r="D26" s="88"/>
      <c r="E26" s="82">
        <f t="shared" si="1"/>
        <v>0</v>
      </c>
      <c r="F26" s="75">
        <f t="shared" si="2"/>
        <v>0.99998842592592585</v>
      </c>
      <c r="G26" s="76" t="str">
        <f t="shared" si="0"/>
        <v xml:space="preserve">
</v>
      </c>
    </row>
    <row r="27" spans="1:7" s="56" customFormat="1" ht="18" customHeight="1">
      <c r="A27" s="86">
        <f t="shared" si="3"/>
        <v>43125</v>
      </c>
      <c r="B27" s="87" t="s">
        <v>41</v>
      </c>
      <c r="C27" s="88"/>
      <c r="D27" s="88"/>
      <c r="E27" s="82">
        <f t="shared" si="1"/>
        <v>0</v>
      </c>
      <c r="F27" s="75">
        <f t="shared" si="2"/>
        <v>0.99998842592592585</v>
      </c>
      <c r="G27" s="76" t="str">
        <f t="shared" si="0"/>
        <v xml:space="preserve">
</v>
      </c>
    </row>
    <row r="28" spans="1:7" s="56" customFormat="1" ht="18" customHeight="1">
      <c r="A28" s="86">
        <f t="shared" si="3"/>
        <v>43126</v>
      </c>
      <c r="B28" s="87" t="s">
        <v>40</v>
      </c>
      <c r="C28" s="88">
        <v>0.70833333333333337</v>
      </c>
      <c r="D28" s="88"/>
      <c r="E28" s="82">
        <f>IF(C28="",TIME(0,0,0),C28)</f>
        <v>0.70833333333333337</v>
      </c>
      <c r="F28" s="75">
        <f t="shared" si="2"/>
        <v>0.99998842592592585</v>
      </c>
      <c r="G28" s="76" t="str">
        <f t="shared" si="0"/>
        <v xml:space="preserve">17:00
</v>
      </c>
    </row>
    <row r="29" spans="1:7" s="56" customFormat="1" ht="18" customHeight="1">
      <c r="A29" s="86">
        <f t="shared" si="3"/>
        <v>43127</v>
      </c>
      <c r="B29" s="87" t="s">
        <v>40</v>
      </c>
      <c r="C29" s="88"/>
      <c r="D29" s="88"/>
      <c r="E29" s="82">
        <f>IF(C29="",TIME(0,0,0),C29)</f>
        <v>0</v>
      </c>
      <c r="F29" s="75">
        <f t="shared" si="2"/>
        <v>0.99998842592592585</v>
      </c>
      <c r="G29" s="76" t="str">
        <f t="shared" si="0"/>
        <v xml:space="preserve">
</v>
      </c>
    </row>
    <row r="30" spans="1:7" s="56" customFormat="1" ht="18" customHeight="1">
      <c r="A30" s="86">
        <f t="shared" si="3"/>
        <v>43128</v>
      </c>
      <c r="B30" s="87" t="s">
        <v>40</v>
      </c>
      <c r="C30" s="88"/>
      <c r="D30" s="88">
        <v>0.72916666666666663</v>
      </c>
      <c r="E30" s="82">
        <f t="shared" ref="E30:E32" si="4">IF(C30="",TIME(0,0,0),C30)</f>
        <v>0</v>
      </c>
      <c r="F30" s="75">
        <f t="shared" si="2"/>
        <v>0.72916666666666663</v>
      </c>
      <c r="G30" s="76" t="str">
        <f t="shared" si="0"/>
        <v xml:space="preserve">
17:30</v>
      </c>
    </row>
    <row r="31" spans="1:7" s="56" customFormat="1" ht="18" customHeight="1">
      <c r="A31" s="86">
        <f t="shared" si="3"/>
        <v>43129</v>
      </c>
      <c r="B31" s="87" t="s">
        <v>41</v>
      </c>
      <c r="C31" s="88"/>
      <c r="D31" s="88"/>
      <c r="E31" s="82">
        <f t="shared" si="4"/>
        <v>0</v>
      </c>
      <c r="F31" s="75">
        <f t="shared" si="2"/>
        <v>0.99998842592592585</v>
      </c>
      <c r="G31" s="76" t="str">
        <f t="shared" si="0"/>
        <v xml:space="preserve">
</v>
      </c>
    </row>
    <row r="32" spans="1:7" s="56" customFormat="1" ht="18" customHeight="1">
      <c r="A32" s="86">
        <f t="shared" si="3"/>
        <v>43130</v>
      </c>
      <c r="B32" s="87" t="s">
        <v>41</v>
      </c>
      <c r="C32" s="88"/>
      <c r="D32" s="88"/>
      <c r="E32" s="82">
        <f t="shared" si="4"/>
        <v>0</v>
      </c>
      <c r="F32" s="75">
        <f t="shared" si="2"/>
        <v>0.99998842592592585</v>
      </c>
      <c r="G32" s="76" t="str">
        <f t="shared" si="0"/>
        <v xml:space="preserve">
</v>
      </c>
    </row>
    <row r="33" spans="1:7" s="56" customFormat="1" ht="18" customHeight="1">
      <c r="A33" s="86">
        <f t="shared" si="3"/>
        <v>43131</v>
      </c>
      <c r="B33" s="87" t="s">
        <v>41</v>
      </c>
      <c r="C33" s="88"/>
      <c r="D33" s="88"/>
      <c r="E33" s="82">
        <f>IF(C33="",TIME(0,0,0),C33)</f>
        <v>0</v>
      </c>
      <c r="F33" s="75">
        <f t="shared" si="2"/>
        <v>0.99998842592592585</v>
      </c>
      <c r="G33" s="76" t="str">
        <f t="shared" si="0"/>
        <v xml:space="preserve">
</v>
      </c>
    </row>
    <row r="34" spans="1:7" s="56" customFormat="1" ht="18" customHeight="1">
      <c r="A34" s="130" t="s">
        <v>1</v>
      </c>
      <c r="B34" s="130"/>
      <c r="C34" s="130"/>
      <c r="D34" s="130"/>
      <c r="E34" s="131"/>
      <c r="F34" s="131"/>
      <c r="G34" s="132"/>
    </row>
    <row r="35" spans="1:7" s="56" customFormat="1" ht="18" customHeight="1">
      <c r="A35" s="86">
        <f>DATE(Konfiguration!$B$2,2,1)</f>
        <v>43132</v>
      </c>
      <c r="B35" s="87" t="s">
        <v>41</v>
      </c>
      <c r="C35" s="88"/>
      <c r="D35" s="88"/>
      <c r="E35" s="82">
        <f>IF(C35="",TIME(0,0,0),C35)</f>
        <v>0</v>
      </c>
      <c r="F35" s="75">
        <f t="shared" si="2"/>
        <v>0.99998842592592585</v>
      </c>
      <c r="G35" s="76" t="str">
        <f t="shared" ref="G35:G63" si="5">IF(C35="","",TEXT(C35,"HH:MM"))&amp; LINE_BREAK  &amp; IF(D35="","",TEXT(D35,"HH:MM"))</f>
        <v xml:space="preserve">
</v>
      </c>
    </row>
    <row r="36" spans="1:7" s="56" customFormat="1" ht="18" customHeight="1">
      <c r="A36" s="86">
        <f t="shared" ref="A36:A62" si="6">A35+1</f>
        <v>43133</v>
      </c>
      <c r="B36" s="87" t="s">
        <v>41</v>
      </c>
      <c r="C36" s="88"/>
      <c r="D36" s="88"/>
      <c r="E36" s="82">
        <f t="shared" ref="E36:E63" si="7">IF(C36="",TIME(0,0,0),C36)</f>
        <v>0</v>
      </c>
      <c r="F36" s="75">
        <f t="shared" si="2"/>
        <v>0.99998842592592585</v>
      </c>
      <c r="G36" s="76" t="str">
        <f t="shared" si="5"/>
        <v xml:space="preserve">
</v>
      </c>
    </row>
    <row r="37" spans="1:7" s="56" customFormat="1" ht="18" customHeight="1">
      <c r="A37" s="86">
        <f t="shared" si="6"/>
        <v>43134</v>
      </c>
      <c r="B37" s="87" t="s">
        <v>41</v>
      </c>
      <c r="C37" s="88"/>
      <c r="D37" s="88"/>
      <c r="E37" s="82">
        <f t="shared" si="7"/>
        <v>0</v>
      </c>
      <c r="F37" s="75">
        <f t="shared" si="2"/>
        <v>0.99998842592592585</v>
      </c>
      <c r="G37" s="76" t="str">
        <f t="shared" si="5"/>
        <v xml:space="preserve">
</v>
      </c>
    </row>
    <row r="38" spans="1:7" s="56" customFormat="1" ht="18" customHeight="1">
      <c r="A38" s="86">
        <f t="shared" si="6"/>
        <v>43135</v>
      </c>
      <c r="B38" s="87" t="s">
        <v>41</v>
      </c>
      <c r="C38" s="88"/>
      <c r="D38" s="88"/>
      <c r="E38" s="82">
        <f t="shared" si="7"/>
        <v>0</v>
      </c>
      <c r="F38" s="75">
        <f t="shared" si="2"/>
        <v>0.99998842592592585</v>
      </c>
      <c r="G38" s="76" t="str">
        <f t="shared" si="5"/>
        <v xml:space="preserve">
</v>
      </c>
    </row>
    <row r="39" spans="1:7" s="56" customFormat="1" ht="18" customHeight="1">
      <c r="A39" s="86">
        <f t="shared" si="6"/>
        <v>43136</v>
      </c>
      <c r="B39" s="87" t="s">
        <v>41</v>
      </c>
      <c r="C39" s="88"/>
      <c r="D39" s="88"/>
      <c r="E39" s="82">
        <f t="shared" si="7"/>
        <v>0</v>
      </c>
      <c r="F39" s="75">
        <f t="shared" si="2"/>
        <v>0.99998842592592585</v>
      </c>
      <c r="G39" s="76" t="str">
        <f t="shared" si="5"/>
        <v xml:space="preserve">
</v>
      </c>
    </row>
    <row r="40" spans="1:7" s="56" customFormat="1" ht="18" customHeight="1">
      <c r="A40" s="86">
        <f t="shared" si="6"/>
        <v>43137</v>
      </c>
      <c r="B40" s="87" t="s">
        <v>41</v>
      </c>
      <c r="C40" s="88"/>
      <c r="D40" s="88"/>
      <c r="E40" s="82">
        <f t="shared" si="7"/>
        <v>0</v>
      </c>
      <c r="F40" s="75">
        <f t="shared" si="2"/>
        <v>0.99998842592592585</v>
      </c>
      <c r="G40" s="76" t="str">
        <f t="shared" si="5"/>
        <v xml:space="preserve">
</v>
      </c>
    </row>
    <row r="41" spans="1:7" s="56" customFormat="1" ht="18" customHeight="1">
      <c r="A41" s="86">
        <f t="shared" si="6"/>
        <v>43138</v>
      </c>
      <c r="B41" s="87" t="s">
        <v>41</v>
      </c>
      <c r="C41" s="88"/>
      <c r="D41" s="88"/>
      <c r="E41" s="82">
        <f t="shared" si="7"/>
        <v>0</v>
      </c>
      <c r="F41" s="75">
        <f t="shared" si="2"/>
        <v>0.99998842592592585</v>
      </c>
      <c r="G41" s="76" t="str">
        <f t="shared" si="5"/>
        <v xml:space="preserve">
</v>
      </c>
    </row>
    <row r="42" spans="1:7" s="56" customFormat="1" ht="18" customHeight="1">
      <c r="A42" s="86">
        <f t="shared" si="6"/>
        <v>43139</v>
      </c>
      <c r="B42" s="87" t="s">
        <v>41</v>
      </c>
      <c r="C42" s="88"/>
      <c r="D42" s="88"/>
      <c r="E42" s="82">
        <f t="shared" si="7"/>
        <v>0</v>
      </c>
      <c r="F42" s="75">
        <f t="shared" si="2"/>
        <v>0.99998842592592585</v>
      </c>
      <c r="G42" s="76" t="str">
        <f t="shared" si="5"/>
        <v xml:space="preserve">
</v>
      </c>
    </row>
    <row r="43" spans="1:7" s="56" customFormat="1" ht="18" customHeight="1">
      <c r="A43" s="86">
        <f t="shared" si="6"/>
        <v>43140</v>
      </c>
      <c r="B43" s="87" t="s">
        <v>41</v>
      </c>
      <c r="C43" s="88"/>
      <c r="D43" s="88"/>
      <c r="E43" s="82">
        <f t="shared" si="7"/>
        <v>0</v>
      </c>
      <c r="F43" s="75">
        <f t="shared" si="2"/>
        <v>0.99998842592592585</v>
      </c>
      <c r="G43" s="76" t="str">
        <f t="shared" si="5"/>
        <v xml:space="preserve">
</v>
      </c>
    </row>
    <row r="44" spans="1:7" s="56" customFormat="1" ht="18" customHeight="1">
      <c r="A44" s="86">
        <f t="shared" si="6"/>
        <v>43141</v>
      </c>
      <c r="B44" s="87" t="s">
        <v>41</v>
      </c>
      <c r="C44" s="88"/>
      <c r="D44" s="88"/>
      <c r="E44" s="82">
        <f t="shared" si="7"/>
        <v>0</v>
      </c>
      <c r="F44" s="75">
        <f t="shared" si="2"/>
        <v>0.99998842592592585</v>
      </c>
      <c r="G44" s="76" t="str">
        <f t="shared" si="5"/>
        <v xml:space="preserve">
</v>
      </c>
    </row>
    <row r="45" spans="1:7" s="56" customFormat="1" ht="18" customHeight="1">
      <c r="A45" s="86">
        <f t="shared" si="6"/>
        <v>43142</v>
      </c>
      <c r="B45" s="87" t="s">
        <v>41</v>
      </c>
      <c r="C45" s="88"/>
      <c r="D45" s="88"/>
      <c r="E45" s="82">
        <f t="shared" si="7"/>
        <v>0</v>
      </c>
      <c r="F45" s="75">
        <f t="shared" si="2"/>
        <v>0.99998842592592585</v>
      </c>
      <c r="G45" s="76" t="str">
        <f t="shared" si="5"/>
        <v xml:space="preserve">
</v>
      </c>
    </row>
    <row r="46" spans="1:7" s="56" customFormat="1" ht="18" customHeight="1">
      <c r="A46" s="86">
        <f t="shared" si="6"/>
        <v>43143</v>
      </c>
      <c r="B46" s="87" t="s">
        <v>41</v>
      </c>
      <c r="C46" s="88"/>
      <c r="D46" s="88"/>
      <c r="E46" s="82">
        <f t="shared" si="7"/>
        <v>0</v>
      </c>
      <c r="F46" s="75">
        <f t="shared" si="2"/>
        <v>0.99998842592592585</v>
      </c>
      <c r="G46" s="76" t="str">
        <f t="shared" si="5"/>
        <v xml:space="preserve">
</v>
      </c>
    </row>
    <row r="47" spans="1:7" s="56" customFormat="1" ht="18" customHeight="1">
      <c r="A47" s="86">
        <f t="shared" si="6"/>
        <v>43144</v>
      </c>
      <c r="B47" s="87" t="s">
        <v>41</v>
      </c>
      <c r="C47" s="88"/>
      <c r="D47" s="88"/>
      <c r="E47" s="82">
        <f t="shared" si="7"/>
        <v>0</v>
      </c>
      <c r="F47" s="75">
        <f t="shared" si="2"/>
        <v>0.99998842592592585</v>
      </c>
      <c r="G47" s="76" t="str">
        <f t="shared" si="5"/>
        <v xml:space="preserve">
</v>
      </c>
    </row>
    <row r="48" spans="1:7" s="56" customFormat="1" ht="18" customHeight="1">
      <c r="A48" s="86">
        <f t="shared" si="6"/>
        <v>43145</v>
      </c>
      <c r="B48" s="87" t="s">
        <v>41</v>
      </c>
      <c r="C48" s="88"/>
      <c r="D48" s="88"/>
      <c r="E48" s="82">
        <f t="shared" si="7"/>
        <v>0</v>
      </c>
      <c r="F48" s="75">
        <f t="shared" si="2"/>
        <v>0.99998842592592585</v>
      </c>
      <c r="G48" s="76" t="str">
        <f t="shared" si="5"/>
        <v xml:space="preserve">
</v>
      </c>
    </row>
    <row r="49" spans="1:7" s="56" customFormat="1" ht="18" customHeight="1">
      <c r="A49" s="86">
        <f t="shared" si="6"/>
        <v>43146</v>
      </c>
      <c r="B49" s="87" t="s">
        <v>41</v>
      </c>
      <c r="C49" s="88"/>
      <c r="D49" s="88"/>
      <c r="E49" s="82">
        <f t="shared" si="7"/>
        <v>0</v>
      </c>
      <c r="F49" s="75">
        <f t="shared" si="2"/>
        <v>0.99998842592592585</v>
      </c>
      <c r="G49" s="76" t="str">
        <f t="shared" si="5"/>
        <v xml:space="preserve">
</v>
      </c>
    </row>
    <row r="50" spans="1:7" s="56" customFormat="1" ht="18" customHeight="1">
      <c r="A50" s="86">
        <f t="shared" si="6"/>
        <v>43147</v>
      </c>
      <c r="B50" s="87" t="s">
        <v>41</v>
      </c>
      <c r="C50" s="88"/>
      <c r="D50" s="88"/>
      <c r="E50" s="82">
        <f t="shared" si="7"/>
        <v>0</v>
      </c>
      <c r="F50" s="75">
        <f t="shared" si="2"/>
        <v>0.99998842592592585</v>
      </c>
      <c r="G50" s="76" t="str">
        <f t="shared" si="5"/>
        <v xml:space="preserve">
</v>
      </c>
    </row>
    <row r="51" spans="1:7" s="56" customFormat="1" ht="18" customHeight="1">
      <c r="A51" s="86">
        <f t="shared" si="6"/>
        <v>43148</v>
      </c>
      <c r="B51" s="87" t="s">
        <v>41</v>
      </c>
      <c r="C51" s="88"/>
      <c r="D51" s="88"/>
      <c r="E51" s="82">
        <f t="shared" si="7"/>
        <v>0</v>
      </c>
      <c r="F51" s="75">
        <f t="shared" si="2"/>
        <v>0.99998842592592585</v>
      </c>
      <c r="G51" s="76" t="str">
        <f t="shared" si="5"/>
        <v xml:space="preserve">
</v>
      </c>
    </row>
    <row r="52" spans="1:7" s="56" customFormat="1" ht="18" customHeight="1">
      <c r="A52" s="86">
        <f t="shared" si="6"/>
        <v>43149</v>
      </c>
      <c r="B52" s="87" t="s">
        <v>41</v>
      </c>
      <c r="C52" s="88"/>
      <c r="D52" s="88"/>
      <c r="E52" s="82">
        <f t="shared" si="7"/>
        <v>0</v>
      </c>
      <c r="F52" s="75">
        <f t="shared" si="2"/>
        <v>0.99998842592592585</v>
      </c>
      <c r="G52" s="76" t="str">
        <f t="shared" si="5"/>
        <v xml:space="preserve">
</v>
      </c>
    </row>
    <row r="53" spans="1:7" s="56" customFormat="1" ht="18" customHeight="1">
      <c r="A53" s="86">
        <f t="shared" si="6"/>
        <v>43150</v>
      </c>
      <c r="B53" s="87" t="s">
        <v>41</v>
      </c>
      <c r="C53" s="88"/>
      <c r="D53" s="88"/>
      <c r="E53" s="82">
        <f t="shared" si="7"/>
        <v>0</v>
      </c>
      <c r="F53" s="75">
        <f t="shared" si="2"/>
        <v>0.99998842592592585</v>
      </c>
      <c r="G53" s="76" t="str">
        <f t="shared" si="5"/>
        <v xml:space="preserve">
</v>
      </c>
    </row>
    <row r="54" spans="1:7" s="56" customFormat="1" ht="18" customHeight="1">
      <c r="A54" s="86">
        <f t="shared" si="6"/>
        <v>43151</v>
      </c>
      <c r="B54" s="87" t="s">
        <v>41</v>
      </c>
      <c r="C54" s="88"/>
      <c r="D54" s="88"/>
      <c r="E54" s="82">
        <f t="shared" si="7"/>
        <v>0</v>
      </c>
      <c r="F54" s="75">
        <f t="shared" si="2"/>
        <v>0.99998842592592585</v>
      </c>
      <c r="G54" s="76" t="str">
        <f t="shared" si="5"/>
        <v xml:space="preserve">
</v>
      </c>
    </row>
    <row r="55" spans="1:7" s="56" customFormat="1" ht="18" customHeight="1">
      <c r="A55" s="86">
        <f t="shared" si="6"/>
        <v>43152</v>
      </c>
      <c r="B55" s="87" t="s">
        <v>41</v>
      </c>
      <c r="C55" s="88"/>
      <c r="D55" s="88"/>
      <c r="E55" s="82">
        <f t="shared" si="7"/>
        <v>0</v>
      </c>
      <c r="F55" s="75">
        <f t="shared" si="2"/>
        <v>0.99998842592592585</v>
      </c>
      <c r="G55" s="76" t="str">
        <f t="shared" si="5"/>
        <v xml:space="preserve">
</v>
      </c>
    </row>
    <row r="56" spans="1:7" s="56" customFormat="1" ht="18" customHeight="1">
      <c r="A56" s="86">
        <f t="shared" si="6"/>
        <v>43153</v>
      </c>
      <c r="B56" s="87" t="s">
        <v>41</v>
      </c>
      <c r="C56" s="88"/>
      <c r="D56" s="88"/>
      <c r="E56" s="82">
        <f t="shared" si="7"/>
        <v>0</v>
      </c>
      <c r="F56" s="75">
        <f t="shared" si="2"/>
        <v>0.99998842592592585</v>
      </c>
      <c r="G56" s="76" t="str">
        <f t="shared" si="5"/>
        <v xml:space="preserve">
</v>
      </c>
    </row>
    <row r="57" spans="1:7" s="56" customFormat="1" ht="18" customHeight="1">
      <c r="A57" s="86">
        <f t="shared" si="6"/>
        <v>43154</v>
      </c>
      <c r="B57" s="87" t="s">
        <v>41</v>
      </c>
      <c r="C57" s="88"/>
      <c r="D57" s="88"/>
      <c r="E57" s="82">
        <f t="shared" si="7"/>
        <v>0</v>
      </c>
      <c r="F57" s="75">
        <f t="shared" si="2"/>
        <v>0.99998842592592585</v>
      </c>
      <c r="G57" s="76" t="str">
        <f t="shared" si="5"/>
        <v xml:space="preserve">
</v>
      </c>
    </row>
    <row r="58" spans="1:7" s="56" customFormat="1" ht="18" customHeight="1">
      <c r="A58" s="86">
        <f t="shared" si="6"/>
        <v>43155</v>
      </c>
      <c r="B58" s="87" t="s">
        <v>41</v>
      </c>
      <c r="C58" s="88"/>
      <c r="D58" s="88"/>
      <c r="E58" s="82">
        <f t="shared" si="7"/>
        <v>0</v>
      </c>
      <c r="F58" s="75">
        <f t="shared" si="2"/>
        <v>0.99998842592592585</v>
      </c>
      <c r="G58" s="76" t="str">
        <f t="shared" si="5"/>
        <v xml:space="preserve">
</v>
      </c>
    </row>
    <row r="59" spans="1:7" s="56" customFormat="1" ht="18" customHeight="1">
      <c r="A59" s="86">
        <f t="shared" si="6"/>
        <v>43156</v>
      </c>
      <c r="B59" s="87" t="s">
        <v>41</v>
      </c>
      <c r="C59" s="88"/>
      <c r="D59" s="88"/>
      <c r="E59" s="82">
        <f t="shared" si="7"/>
        <v>0</v>
      </c>
      <c r="F59" s="75">
        <f t="shared" si="2"/>
        <v>0.99998842592592585</v>
      </c>
      <c r="G59" s="76" t="str">
        <f t="shared" si="5"/>
        <v xml:space="preserve">
</v>
      </c>
    </row>
    <row r="60" spans="1:7" s="56" customFormat="1" ht="18" customHeight="1">
      <c r="A60" s="86">
        <f t="shared" si="6"/>
        <v>43157</v>
      </c>
      <c r="B60" s="87" t="s">
        <v>41</v>
      </c>
      <c r="C60" s="88"/>
      <c r="D60" s="88"/>
      <c r="E60" s="82">
        <f t="shared" si="7"/>
        <v>0</v>
      </c>
      <c r="F60" s="75">
        <f t="shared" si="2"/>
        <v>0.99998842592592585</v>
      </c>
      <c r="G60" s="76" t="str">
        <f t="shared" si="5"/>
        <v xml:space="preserve">
</v>
      </c>
    </row>
    <row r="61" spans="1:7" s="56" customFormat="1" ht="18" customHeight="1">
      <c r="A61" s="86">
        <f t="shared" si="6"/>
        <v>43158</v>
      </c>
      <c r="B61" s="87" t="s">
        <v>41</v>
      </c>
      <c r="C61" s="88"/>
      <c r="D61" s="88"/>
      <c r="E61" s="82">
        <f t="shared" si="7"/>
        <v>0</v>
      </c>
      <c r="F61" s="75">
        <f t="shared" si="2"/>
        <v>0.99998842592592585</v>
      </c>
      <c r="G61" s="76" t="str">
        <f t="shared" si="5"/>
        <v xml:space="preserve">
</v>
      </c>
    </row>
    <row r="62" spans="1:7" s="56" customFormat="1" ht="18" customHeight="1">
      <c r="A62" s="86">
        <f t="shared" si="6"/>
        <v>43159</v>
      </c>
      <c r="B62" s="87" t="s">
        <v>41</v>
      </c>
      <c r="C62" s="88"/>
      <c r="D62" s="88"/>
      <c r="E62" s="82">
        <f t="shared" si="7"/>
        <v>0</v>
      </c>
      <c r="F62" s="75">
        <f t="shared" si="2"/>
        <v>0.99998842592592585</v>
      </c>
      <c r="G62" s="76" t="str">
        <f t="shared" si="5"/>
        <v xml:space="preserve">
</v>
      </c>
    </row>
    <row r="63" spans="1:7" s="56" customFormat="1" ht="18" customHeight="1">
      <c r="A63" s="86" t="str">
        <f>IF(DAY(DATE(Konfiguration!$B$2,2,29))=29,DATE(Konfiguration!$B$2,2,29),"")</f>
        <v/>
      </c>
      <c r="B63" s="87"/>
      <c r="C63" s="88"/>
      <c r="D63" s="88"/>
      <c r="E63" s="82">
        <f t="shared" si="7"/>
        <v>0</v>
      </c>
      <c r="F63" s="75">
        <f t="shared" si="2"/>
        <v>0.99998842592592585</v>
      </c>
      <c r="G63" s="76" t="str">
        <f t="shared" si="5"/>
        <v xml:space="preserve">
</v>
      </c>
    </row>
    <row r="64" spans="1:7" s="56" customFormat="1" ht="18" customHeight="1">
      <c r="A64" s="130" t="s">
        <v>2</v>
      </c>
      <c r="B64" s="130"/>
      <c r="C64" s="130"/>
      <c r="D64" s="130"/>
      <c r="E64" s="131"/>
      <c r="F64" s="131"/>
      <c r="G64" s="132"/>
    </row>
    <row r="65" spans="1:7" s="56" customFormat="1" ht="18" customHeight="1">
      <c r="A65" s="86">
        <f>DATE(Konfiguration!$B$2,3,1)</f>
        <v>43160</v>
      </c>
      <c r="B65" s="87" t="s">
        <v>41</v>
      </c>
      <c r="C65" s="88"/>
      <c r="D65" s="88"/>
      <c r="E65" s="82">
        <f t="shared" ref="E65" si="8">IF(C65="",TIME(0,0,0),C65)</f>
        <v>0</v>
      </c>
      <c r="F65" s="75">
        <f t="shared" si="2"/>
        <v>0.99998842592592585</v>
      </c>
      <c r="G65" s="76" t="str">
        <f t="shared" ref="G65:G95" si="9">IF(C65="","",TEXT(C65,"HH:MM"))&amp; LINE_BREAK  &amp; IF(D65="","",TEXT(D65,"HH:MM"))</f>
        <v xml:space="preserve">
</v>
      </c>
    </row>
    <row r="66" spans="1:7" s="56" customFormat="1" ht="18" customHeight="1">
      <c r="A66" s="86">
        <f t="shared" ref="A66:A95" si="10">A65+1</f>
        <v>43161</v>
      </c>
      <c r="B66" s="87" t="s">
        <v>41</v>
      </c>
      <c r="C66" s="88"/>
      <c r="D66" s="88"/>
      <c r="E66" s="82">
        <f t="shared" ref="E66:E95" si="11">IF(C66="",TIME(0,0,0),C66)</f>
        <v>0</v>
      </c>
      <c r="F66" s="75">
        <f t="shared" si="2"/>
        <v>0.99998842592592585</v>
      </c>
      <c r="G66" s="76" t="str">
        <f t="shared" si="9"/>
        <v xml:space="preserve">
</v>
      </c>
    </row>
    <row r="67" spans="1:7" s="56" customFormat="1" ht="18" customHeight="1">
      <c r="A67" s="86">
        <f t="shared" si="10"/>
        <v>43162</v>
      </c>
      <c r="B67" s="87" t="s">
        <v>41</v>
      </c>
      <c r="C67" s="88"/>
      <c r="D67" s="88"/>
      <c r="E67" s="82">
        <f t="shared" si="11"/>
        <v>0</v>
      </c>
      <c r="F67" s="75">
        <f t="shared" si="2"/>
        <v>0.99998842592592585</v>
      </c>
      <c r="G67" s="76" t="str">
        <f t="shared" si="9"/>
        <v xml:space="preserve">
</v>
      </c>
    </row>
    <row r="68" spans="1:7" s="56" customFormat="1" ht="18" customHeight="1">
      <c r="A68" s="86">
        <f t="shared" si="10"/>
        <v>43163</v>
      </c>
      <c r="B68" s="87" t="s">
        <v>41</v>
      </c>
      <c r="C68" s="88"/>
      <c r="D68" s="88"/>
      <c r="E68" s="82">
        <f t="shared" si="11"/>
        <v>0</v>
      </c>
      <c r="F68" s="75">
        <f t="shared" ref="F68:F95" si="12">IF(D68="",TIME(23,59,59),D68)</f>
        <v>0.99998842592592585</v>
      </c>
      <c r="G68" s="76" t="str">
        <f t="shared" si="9"/>
        <v xml:space="preserve">
</v>
      </c>
    </row>
    <row r="69" spans="1:7" s="56" customFormat="1" ht="18" customHeight="1">
      <c r="A69" s="86">
        <f t="shared" si="10"/>
        <v>43164</v>
      </c>
      <c r="B69" s="87" t="s">
        <v>41</v>
      </c>
      <c r="C69" s="88"/>
      <c r="D69" s="88"/>
      <c r="E69" s="82">
        <f t="shared" si="11"/>
        <v>0</v>
      </c>
      <c r="F69" s="75">
        <f t="shared" si="12"/>
        <v>0.99998842592592585</v>
      </c>
      <c r="G69" s="76" t="str">
        <f t="shared" si="9"/>
        <v xml:space="preserve">
</v>
      </c>
    </row>
    <row r="70" spans="1:7" s="56" customFormat="1" ht="18" customHeight="1">
      <c r="A70" s="86">
        <f t="shared" si="10"/>
        <v>43165</v>
      </c>
      <c r="B70" s="87" t="s">
        <v>41</v>
      </c>
      <c r="C70" s="88"/>
      <c r="D70" s="88"/>
      <c r="E70" s="82">
        <f t="shared" si="11"/>
        <v>0</v>
      </c>
      <c r="F70" s="75">
        <f t="shared" si="12"/>
        <v>0.99998842592592585</v>
      </c>
      <c r="G70" s="76" t="str">
        <f t="shared" si="9"/>
        <v xml:space="preserve">
</v>
      </c>
    </row>
    <row r="71" spans="1:7" s="56" customFormat="1" ht="18" customHeight="1">
      <c r="A71" s="86">
        <f t="shared" si="10"/>
        <v>43166</v>
      </c>
      <c r="B71" s="87" t="s">
        <v>41</v>
      </c>
      <c r="C71" s="88"/>
      <c r="D71" s="88"/>
      <c r="E71" s="82">
        <f t="shared" si="11"/>
        <v>0</v>
      </c>
      <c r="F71" s="75">
        <f t="shared" si="12"/>
        <v>0.99998842592592585</v>
      </c>
      <c r="G71" s="76" t="str">
        <f t="shared" si="9"/>
        <v xml:space="preserve">
</v>
      </c>
    </row>
    <row r="72" spans="1:7" s="56" customFormat="1" ht="18" customHeight="1">
      <c r="A72" s="86">
        <f t="shared" si="10"/>
        <v>43167</v>
      </c>
      <c r="B72" s="87" t="s">
        <v>41</v>
      </c>
      <c r="C72" s="88"/>
      <c r="D72" s="88"/>
      <c r="E72" s="82">
        <f t="shared" si="11"/>
        <v>0</v>
      </c>
      <c r="F72" s="75">
        <f t="shared" si="12"/>
        <v>0.99998842592592585</v>
      </c>
      <c r="G72" s="76" t="str">
        <f t="shared" si="9"/>
        <v xml:space="preserve">
</v>
      </c>
    </row>
    <row r="73" spans="1:7" s="56" customFormat="1" ht="18" customHeight="1">
      <c r="A73" s="86">
        <f t="shared" si="10"/>
        <v>43168</v>
      </c>
      <c r="B73" s="87" t="s">
        <v>41</v>
      </c>
      <c r="C73" s="88"/>
      <c r="D73" s="88"/>
      <c r="E73" s="82">
        <f t="shared" si="11"/>
        <v>0</v>
      </c>
      <c r="F73" s="75">
        <f t="shared" si="12"/>
        <v>0.99998842592592585</v>
      </c>
      <c r="G73" s="76" t="str">
        <f t="shared" si="9"/>
        <v xml:space="preserve">
</v>
      </c>
    </row>
    <row r="74" spans="1:7" s="56" customFormat="1" ht="18" customHeight="1">
      <c r="A74" s="86">
        <f t="shared" si="10"/>
        <v>43169</v>
      </c>
      <c r="B74" s="87" t="s">
        <v>41</v>
      </c>
      <c r="C74" s="88"/>
      <c r="D74" s="88"/>
      <c r="E74" s="82">
        <f t="shared" si="11"/>
        <v>0</v>
      </c>
      <c r="F74" s="75">
        <f t="shared" si="12"/>
        <v>0.99998842592592585</v>
      </c>
      <c r="G74" s="76" t="str">
        <f t="shared" si="9"/>
        <v xml:space="preserve">
</v>
      </c>
    </row>
    <row r="75" spans="1:7" s="56" customFormat="1" ht="18" customHeight="1">
      <c r="A75" s="86">
        <f t="shared" si="10"/>
        <v>43170</v>
      </c>
      <c r="B75" s="87" t="s">
        <v>41</v>
      </c>
      <c r="C75" s="88"/>
      <c r="D75" s="88"/>
      <c r="E75" s="82">
        <f t="shared" si="11"/>
        <v>0</v>
      </c>
      <c r="F75" s="75">
        <f t="shared" si="12"/>
        <v>0.99998842592592585</v>
      </c>
      <c r="G75" s="76" t="str">
        <f t="shared" si="9"/>
        <v xml:space="preserve">
</v>
      </c>
    </row>
    <row r="76" spans="1:7" s="56" customFormat="1" ht="18" customHeight="1">
      <c r="A76" s="86">
        <f t="shared" si="10"/>
        <v>43171</v>
      </c>
      <c r="B76" s="87" t="s">
        <v>41</v>
      </c>
      <c r="C76" s="88"/>
      <c r="D76" s="88"/>
      <c r="E76" s="82">
        <f t="shared" si="11"/>
        <v>0</v>
      </c>
      <c r="F76" s="75">
        <f t="shared" si="12"/>
        <v>0.99998842592592585</v>
      </c>
      <c r="G76" s="76" t="str">
        <f t="shared" si="9"/>
        <v xml:space="preserve">
</v>
      </c>
    </row>
    <row r="77" spans="1:7" s="56" customFormat="1" ht="18" customHeight="1">
      <c r="A77" s="86">
        <f t="shared" si="10"/>
        <v>43172</v>
      </c>
      <c r="B77" s="87" t="s">
        <v>41</v>
      </c>
      <c r="C77" s="88"/>
      <c r="D77" s="88"/>
      <c r="E77" s="82">
        <f t="shared" si="11"/>
        <v>0</v>
      </c>
      <c r="F77" s="75">
        <f t="shared" si="12"/>
        <v>0.99998842592592585</v>
      </c>
      <c r="G77" s="76" t="str">
        <f t="shared" si="9"/>
        <v xml:space="preserve">
</v>
      </c>
    </row>
    <row r="78" spans="1:7" s="56" customFormat="1" ht="18" customHeight="1">
      <c r="A78" s="86">
        <f t="shared" si="10"/>
        <v>43173</v>
      </c>
      <c r="B78" s="87" t="s">
        <v>41</v>
      </c>
      <c r="C78" s="88"/>
      <c r="D78" s="88"/>
      <c r="E78" s="82">
        <f t="shared" si="11"/>
        <v>0</v>
      </c>
      <c r="F78" s="75">
        <f t="shared" si="12"/>
        <v>0.99998842592592585</v>
      </c>
      <c r="G78" s="76" t="str">
        <f t="shared" si="9"/>
        <v xml:space="preserve">
</v>
      </c>
    </row>
    <row r="79" spans="1:7" s="56" customFormat="1" ht="18" customHeight="1">
      <c r="A79" s="86">
        <f t="shared" si="10"/>
        <v>43174</v>
      </c>
      <c r="B79" s="87" t="s">
        <v>41</v>
      </c>
      <c r="C79" s="88"/>
      <c r="D79" s="88"/>
      <c r="E79" s="82">
        <f t="shared" si="11"/>
        <v>0</v>
      </c>
      <c r="F79" s="75">
        <f t="shared" si="12"/>
        <v>0.99998842592592585</v>
      </c>
      <c r="G79" s="76" t="str">
        <f t="shared" si="9"/>
        <v xml:space="preserve">
</v>
      </c>
    </row>
    <row r="80" spans="1:7" s="56" customFormat="1" ht="18" customHeight="1">
      <c r="A80" s="86">
        <f t="shared" si="10"/>
        <v>43175</v>
      </c>
      <c r="B80" s="87" t="s">
        <v>41</v>
      </c>
      <c r="C80" s="88"/>
      <c r="D80" s="88"/>
      <c r="E80" s="82">
        <f t="shared" si="11"/>
        <v>0</v>
      </c>
      <c r="F80" s="75">
        <f t="shared" si="12"/>
        <v>0.99998842592592585</v>
      </c>
      <c r="G80" s="76" t="str">
        <f t="shared" si="9"/>
        <v xml:space="preserve">
</v>
      </c>
    </row>
    <row r="81" spans="1:7" s="56" customFormat="1" ht="18" customHeight="1">
      <c r="A81" s="86">
        <f t="shared" si="10"/>
        <v>43176</v>
      </c>
      <c r="B81" s="87" t="s">
        <v>41</v>
      </c>
      <c r="C81" s="88"/>
      <c r="D81" s="88"/>
      <c r="E81" s="82">
        <f t="shared" si="11"/>
        <v>0</v>
      </c>
      <c r="F81" s="75">
        <f t="shared" si="12"/>
        <v>0.99998842592592585</v>
      </c>
      <c r="G81" s="76" t="str">
        <f t="shared" si="9"/>
        <v xml:space="preserve">
</v>
      </c>
    </row>
    <row r="82" spans="1:7" s="56" customFormat="1" ht="18" customHeight="1">
      <c r="A82" s="86">
        <f t="shared" si="10"/>
        <v>43177</v>
      </c>
      <c r="B82" s="87" t="s">
        <v>41</v>
      </c>
      <c r="C82" s="88"/>
      <c r="D82" s="88"/>
      <c r="E82" s="82">
        <f t="shared" si="11"/>
        <v>0</v>
      </c>
      <c r="F82" s="75">
        <f t="shared" si="12"/>
        <v>0.99998842592592585</v>
      </c>
      <c r="G82" s="76" t="str">
        <f t="shared" si="9"/>
        <v xml:space="preserve">
</v>
      </c>
    </row>
    <row r="83" spans="1:7" s="56" customFormat="1" ht="18" customHeight="1">
      <c r="A83" s="86">
        <f t="shared" si="10"/>
        <v>43178</v>
      </c>
      <c r="B83" s="87" t="s">
        <v>41</v>
      </c>
      <c r="C83" s="88"/>
      <c r="D83" s="88"/>
      <c r="E83" s="82">
        <f t="shared" si="11"/>
        <v>0</v>
      </c>
      <c r="F83" s="75">
        <f t="shared" si="12"/>
        <v>0.99998842592592585</v>
      </c>
      <c r="G83" s="76" t="str">
        <f t="shared" si="9"/>
        <v xml:space="preserve">
</v>
      </c>
    </row>
    <row r="84" spans="1:7" s="56" customFormat="1" ht="18" customHeight="1">
      <c r="A84" s="86">
        <f t="shared" si="10"/>
        <v>43179</v>
      </c>
      <c r="B84" s="87" t="s">
        <v>41</v>
      </c>
      <c r="C84" s="88"/>
      <c r="D84" s="88"/>
      <c r="E84" s="82">
        <f t="shared" si="11"/>
        <v>0</v>
      </c>
      <c r="F84" s="75">
        <f t="shared" si="12"/>
        <v>0.99998842592592585</v>
      </c>
      <c r="G84" s="76" t="str">
        <f t="shared" si="9"/>
        <v xml:space="preserve">
</v>
      </c>
    </row>
    <row r="85" spans="1:7" s="56" customFormat="1" ht="18" customHeight="1">
      <c r="A85" s="86">
        <f t="shared" si="10"/>
        <v>43180</v>
      </c>
      <c r="B85" s="87" t="s">
        <v>41</v>
      </c>
      <c r="C85" s="88"/>
      <c r="D85" s="88"/>
      <c r="E85" s="82">
        <f t="shared" si="11"/>
        <v>0</v>
      </c>
      <c r="F85" s="75">
        <f t="shared" si="12"/>
        <v>0.99998842592592585</v>
      </c>
      <c r="G85" s="76" t="str">
        <f t="shared" si="9"/>
        <v xml:space="preserve">
</v>
      </c>
    </row>
    <row r="86" spans="1:7" s="56" customFormat="1" ht="18" customHeight="1">
      <c r="A86" s="86">
        <f t="shared" si="10"/>
        <v>43181</v>
      </c>
      <c r="B86" s="87" t="s">
        <v>41</v>
      </c>
      <c r="C86" s="88"/>
      <c r="D86" s="88"/>
      <c r="E86" s="82">
        <f t="shared" si="11"/>
        <v>0</v>
      </c>
      <c r="F86" s="75">
        <f t="shared" si="12"/>
        <v>0.99998842592592585</v>
      </c>
      <c r="G86" s="76" t="str">
        <f t="shared" si="9"/>
        <v xml:space="preserve">
</v>
      </c>
    </row>
    <row r="87" spans="1:7" s="56" customFormat="1" ht="18" customHeight="1">
      <c r="A87" s="86">
        <f t="shared" si="10"/>
        <v>43182</v>
      </c>
      <c r="B87" s="87" t="s">
        <v>41</v>
      </c>
      <c r="C87" s="88"/>
      <c r="D87" s="88"/>
      <c r="E87" s="82">
        <f t="shared" si="11"/>
        <v>0</v>
      </c>
      <c r="F87" s="75">
        <f t="shared" si="12"/>
        <v>0.99998842592592585</v>
      </c>
      <c r="G87" s="76" t="str">
        <f t="shared" si="9"/>
        <v xml:space="preserve">
</v>
      </c>
    </row>
    <row r="88" spans="1:7" s="56" customFormat="1" ht="18" customHeight="1">
      <c r="A88" s="86">
        <f t="shared" si="10"/>
        <v>43183</v>
      </c>
      <c r="B88" s="87" t="s">
        <v>41</v>
      </c>
      <c r="C88" s="88"/>
      <c r="D88" s="88"/>
      <c r="E88" s="82">
        <f t="shared" si="11"/>
        <v>0</v>
      </c>
      <c r="F88" s="75">
        <f t="shared" si="12"/>
        <v>0.99998842592592585</v>
      </c>
      <c r="G88" s="76" t="str">
        <f t="shared" si="9"/>
        <v xml:space="preserve">
</v>
      </c>
    </row>
    <row r="89" spans="1:7" s="56" customFormat="1" ht="18" customHeight="1">
      <c r="A89" s="86">
        <f t="shared" si="10"/>
        <v>43184</v>
      </c>
      <c r="B89" s="87" t="s">
        <v>41</v>
      </c>
      <c r="C89" s="88"/>
      <c r="D89" s="88"/>
      <c r="E89" s="82">
        <f t="shared" si="11"/>
        <v>0</v>
      </c>
      <c r="F89" s="75">
        <f t="shared" si="12"/>
        <v>0.99998842592592585</v>
      </c>
      <c r="G89" s="76" t="str">
        <f t="shared" si="9"/>
        <v xml:space="preserve">
</v>
      </c>
    </row>
    <row r="90" spans="1:7" s="56" customFormat="1" ht="18" customHeight="1">
      <c r="A90" s="86">
        <f t="shared" si="10"/>
        <v>43185</v>
      </c>
      <c r="B90" s="87" t="s">
        <v>41</v>
      </c>
      <c r="C90" s="88"/>
      <c r="D90" s="88"/>
      <c r="E90" s="82">
        <f t="shared" si="11"/>
        <v>0</v>
      </c>
      <c r="F90" s="75">
        <f t="shared" si="12"/>
        <v>0.99998842592592585</v>
      </c>
      <c r="G90" s="76" t="str">
        <f t="shared" si="9"/>
        <v xml:space="preserve">
</v>
      </c>
    </row>
    <row r="91" spans="1:7" s="56" customFormat="1" ht="18" customHeight="1">
      <c r="A91" s="86">
        <f t="shared" si="10"/>
        <v>43186</v>
      </c>
      <c r="B91" s="87" t="s">
        <v>41</v>
      </c>
      <c r="C91" s="88"/>
      <c r="D91" s="88"/>
      <c r="E91" s="82">
        <f t="shared" si="11"/>
        <v>0</v>
      </c>
      <c r="F91" s="75">
        <f t="shared" si="12"/>
        <v>0.99998842592592585</v>
      </c>
      <c r="G91" s="76" t="str">
        <f t="shared" si="9"/>
        <v xml:space="preserve">
</v>
      </c>
    </row>
    <row r="92" spans="1:7" s="56" customFormat="1" ht="18" customHeight="1">
      <c r="A92" s="86">
        <f t="shared" si="10"/>
        <v>43187</v>
      </c>
      <c r="B92" s="87" t="s">
        <v>41</v>
      </c>
      <c r="C92" s="88"/>
      <c r="D92" s="88"/>
      <c r="E92" s="82">
        <f t="shared" si="11"/>
        <v>0</v>
      </c>
      <c r="F92" s="75">
        <f t="shared" si="12"/>
        <v>0.99998842592592585</v>
      </c>
      <c r="G92" s="76" t="str">
        <f t="shared" si="9"/>
        <v xml:space="preserve">
</v>
      </c>
    </row>
    <row r="93" spans="1:7" s="56" customFormat="1" ht="18" customHeight="1">
      <c r="A93" s="86">
        <f t="shared" si="10"/>
        <v>43188</v>
      </c>
      <c r="B93" s="87" t="s">
        <v>41</v>
      </c>
      <c r="C93" s="88"/>
      <c r="D93" s="88"/>
      <c r="E93" s="82">
        <f t="shared" si="11"/>
        <v>0</v>
      </c>
      <c r="F93" s="75">
        <f t="shared" si="12"/>
        <v>0.99998842592592585</v>
      </c>
      <c r="G93" s="76" t="str">
        <f t="shared" si="9"/>
        <v xml:space="preserve">
</v>
      </c>
    </row>
    <row r="94" spans="1:7" s="56" customFormat="1" ht="18" customHeight="1">
      <c r="A94" s="86">
        <f t="shared" si="10"/>
        <v>43189</v>
      </c>
      <c r="B94" s="87" t="s">
        <v>41</v>
      </c>
      <c r="C94" s="88"/>
      <c r="D94" s="88"/>
      <c r="E94" s="82">
        <f t="shared" si="11"/>
        <v>0</v>
      </c>
      <c r="F94" s="75">
        <f t="shared" si="12"/>
        <v>0.99998842592592585</v>
      </c>
      <c r="G94" s="76" t="str">
        <f t="shared" si="9"/>
        <v xml:space="preserve">
</v>
      </c>
    </row>
    <row r="95" spans="1:7" s="56" customFormat="1" ht="18" customHeight="1">
      <c r="A95" s="86">
        <f t="shared" si="10"/>
        <v>43190</v>
      </c>
      <c r="B95" s="87" t="s">
        <v>41</v>
      </c>
      <c r="C95" s="88"/>
      <c r="D95" s="88"/>
      <c r="E95" s="82">
        <f t="shared" si="11"/>
        <v>0</v>
      </c>
      <c r="F95" s="75">
        <f t="shared" si="12"/>
        <v>0.99998842592592585</v>
      </c>
      <c r="G95" s="76" t="str">
        <f t="shared" si="9"/>
        <v xml:space="preserve">
</v>
      </c>
    </row>
    <row r="96" spans="1:7" s="56" customFormat="1" ht="18" customHeight="1">
      <c r="A96" s="130" t="s">
        <v>3</v>
      </c>
      <c r="B96" s="130"/>
      <c r="C96" s="130"/>
      <c r="D96" s="130"/>
      <c r="E96" s="131"/>
      <c r="F96" s="131"/>
      <c r="G96" s="132"/>
    </row>
    <row r="97" spans="1:7" s="56" customFormat="1" ht="18" customHeight="1">
      <c r="A97" s="86">
        <f>DATE(Konfiguration!$B$2,4,1)</f>
        <v>43191</v>
      </c>
      <c r="B97" s="87" t="s">
        <v>41</v>
      </c>
      <c r="C97" s="88"/>
      <c r="D97" s="88"/>
      <c r="E97" s="82">
        <f t="shared" ref="E97:E126" si="13">IF(C97="",TIME(0,0,0),C97)</f>
        <v>0</v>
      </c>
      <c r="F97" s="75">
        <f t="shared" ref="F97:F126" si="14">IF(D97="",TIME(23,59,59),D97)</f>
        <v>0.99998842592592585</v>
      </c>
      <c r="G97" s="76" t="str">
        <f t="shared" ref="G97:G126" si="15">IF(C97="","",TEXT(C97,"HH:MM"))&amp; LINE_BREAK  &amp; IF(D97="","",TEXT(D97,"HH:MM"))</f>
        <v xml:space="preserve">
</v>
      </c>
    </row>
    <row r="98" spans="1:7" s="56" customFormat="1" ht="18" customHeight="1">
      <c r="A98" s="86">
        <f t="shared" ref="A98:A126" si="16">A97+1</f>
        <v>43192</v>
      </c>
      <c r="B98" s="87" t="s">
        <v>41</v>
      </c>
      <c r="C98" s="88"/>
      <c r="D98" s="88"/>
      <c r="E98" s="82">
        <f t="shared" si="13"/>
        <v>0</v>
      </c>
      <c r="F98" s="75">
        <f t="shared" si="14"/>
        <v>0.99998842592592585</v>
      </c>
      <c r="G98" s="76" t="str">
        <f t="shared" si="15"/>
        <v xml:space="preserve">
</v>
      </c>
    </row>
    <row r="99" spans="1:7" s="56" customFormat="1" ht="18" customHeight="1">
      <c r="A99" s="86">
        <f t="shared" si="16"/>
        <v>43193</v>
      </c>
      <c r="B99" s="87" t="s">
        <v>41</v>
      </c>
      <c r="C99" s="88"/>
      <c r="D99" s="88"/>
      <c r="E99" s="82">
        <f t="shared" si="13"/>
        <v>0</v>
      </c>
      <c r="F99" s="75">
        <f t="shared" si="14"/>
        <v>0.99998842592592585</v>
      </c>
      <c r="G99" s="76" t="str">
        <f t="shared" si="15"/>
        <v xml:space="preserve">
</v>
      </c>
    </row>
    <row r="100" spans="1:7" s="56" customFormat="1" ht="18" customHeight="1">
      <c r="A100" s="86">
        <f t="shared" si="16"/>
        <v>43194</v>
      </c>
      <c r="B100" s="87" t="s">
        <v>41</v>
      </c>
      <c r="C100" s="88"/>
      <c r="D100" s="88"/>
      <c r="E100" s="82">
        <f t="shared" si="13"/>
        <v>0</v>
      </c>
      <c r="F100" s="75">
        <f t="shared" si="14"/>
        <v>0.99998842592592585</v>
      </c>
      <c r="G100" s="76" t="str">
        <f t="shared" si="15"/>
        <v xml:space="preserve">
</v>
      </c>
    </row>
    <row r="101" spans="1:7" s="56" customFormat="1" ht="18" customHeight="1">
      <c r="A101" s="86">
        <f t="shared" si="16"/>
        <v>43195</v>
      </c>
      <c r="B101" s="87" t="s">
        <v>41</v>
      </c>
      <c r="C101" s="88"/>
      <c r="D101" s="88"/>
      <c r="E101" s="82">
        <f t="shared" si="13"/>
        <v>0</v>
      </c>
      <c r="F101" s="75">
        <f t="shared" si="14"/>
        <v>0.99998842592592585</v>
      </c>
      <c r="G101" s="76" t="str">
        <f t="shared" si="15"/>
        <v xml:space="preserve">
</v>
      </c>
    </row>
    <row r="102" spans="1:7" s="56" customFormat="1" ht="18" customHeight="1">
      <c r="A102" s="86">
        <f t="shared" si="16"/>
        <v>43196</v>
      </c>
      <c r="B102" s="87" t="s">
        <v>41</v>
      </c>
      <c r="C102" s="88"/>
      <c r="D102" s="88"/>
      <c r="E102" s="82">
        <f t="shared" si="13"/>
        <v>0</v>
      </c>
      <c r="F102" s="75">
        <f t="shared" si="14"/>
        <v>0.99998842592592585</v>
      </c>
      <c r="G102" s="76" t="str">
        <f t="shared" si="15"/>
        <v xml:space="preserve">
</v>
      </c>
    </row>
    <row r="103" spans="1:7" s="56" customFormat="1" ht="18" customHeight="1">
      <c r="A103" s="86">
        <f t="shared" si="16"/>
        <v>43197</v>
      </c>
      <c r="B103" s="87" t="s">
        <v>41</v>
      </c>
      <c r="C103" s="88"/>
      <c r="D103" s="88"/>
      <c r="E103" s="82">
        <f t="shared" si="13"/>
        <v>0</v>
      </c>
      <c r="F103" s="75">
        <f t="shared" si="14"/>
        <v>0.99998842592592585</v>
      </c>
      <c r="G103" s="76" t="str">
        <f t="shared" si="15"/>
        <v xml:space="preserve">
</v>
      </c>
    </row>
    <row r="104" spans="1:7" s="56" customFormat="1" ht="18" customHeight="1">
      <c r="A104" s="86">
        <f t="shared" si="16"/>
        <v>43198</v>
      </c>
      <c r="B104" s="87" t="s">
        <v>41</v>
      </c>
      <c r="C104" s="88"/>
      <c r="D104" s="88"/>
      <c r="E104" s="82">
        <f t="shared" si="13"/>
        <v>0</v>
      </c>
      <c r="F104" s="75">
        <f t="shared" si="14"/>
        <v>0.99998842592592585</v>
      </c>
      <c r="G104" s="76" t="str">
        <f t="shared" si="15"/>
        <v xml:space="preserve">
</v>
      </c>
    </row>
    <row r="105" spans="1:7" s="56" customFormat="1" ht="18" customHeight="1">
      <c r="A105" s="86">
        <f t="shared" si="16"/>
        <v>43199</v>
      </c>
      <c r="B105" s="87" t="s">
        <v>41</v>
      </c>
      <c r="C105" s="88"/>
      <c r="D105" s="88"/>
      <c r="E105" s="82">
        <f t="shared" si="13"/>
        <v>0</v>
      </c>
      <c r="F105" s="75">
        <f t="shared" si="14"/>
        <v>0.99998842592592585</v>
      </c>
      <c r="G105" s="76" t="str">
        <f t="shared" si="15"/>
        <v xml:space="preserve">
</v>
      </c>
    </row>
    <row r="106" spans="1:7" s="56" customFormat="1" ht="18" customHeight="1">
      <c r="A106" s="86">
        <f t="shared" si="16"/>
        <v>43200</v>
      </c>
      <c r="B106" s="87" t="s">
        <v>41</v>
      </c>
      <c r="C106" s="88"/>
      <c r="D106" s="88"/>
      <c r="E106" s="82">
        <f t="shared" si="13"/>
        <v>0</v>
      </c>
      <c r="F106" s="75">
        <f t="shared" si="14"/>
        <v>0.99998842592592585</v>
      </c>
      <c r="G106" s="76" t="str">
        <f t="shared" si="15"/>
        <v xml:space="preserve">
</v>
      </c>
    </row>
    <row r="107" spans="1:7" s="56" customFormat="1" ht="18" customHeight="1">
      <c r="A107" s="86">
        <f t="shared" si="16"/>
        <v>43201</v>
      </c>
      <c r="B107" s="87" t="s">
        <v>41</v>
      </c>
      <c r="C107" s="88"/>
      <c r="D107" s="88"/>
      <c r="E107" s="82">
        <f t="shared" si="13"/>
        <v>0</v>
      </c>
      <c r="F107" s="75">
        <f t="shared" si="14"/>
        <v>0.99998842592592585</v>
      </c>
      <c r="G107" s="76" t="str">
        <f t="shared" si="15"/>
        <v xml:space="preserve">
</v>
      </c>
    </row>
    <row r="108" spans="1:7" s="56" customFormat="1" ht="18" customHeight="1">
      <c r="A108" s="86">
        <f t="shared" si="16"/>
        <v>43202</v>
      </c>
      <c r="B108" s="87" t="s">
        <v>41</v>
      </c>
      <c r="C108" s="88"/>
      <c r="D108" s="88"/>
      <c r="E108" s="82">
        <f t="shared" si="13"/>
        <v>0</v>
      </c>
      <c r="F108" s="75">
        <f t="shared" si="14"/>
        <v>0.99998842592592585</v>
      </c>
      <c r="G108" s="76" t="str">
        <f t="shared" si="15"/>
        <v xml:space="preserve">
</v>
      </c>
    </row>
    <row r="109" spans="1:7" s="56" customFormat="1" ht="18" customHeight="1">
      <c r="A109" s="86">
        <f t="shared" si="16"/>
        <v>43203</v>
      </c>
      <c r="B109" s="87" t="s">
        <v>41</v>
      </c>
      <c r="C109" s="88"/>
      <c r="D109" s="88"/>
      <c r="E109" s="82">
        <f t="shared" si="13"/>
        <v>0</v>
      </c>
      <c r="F109" s="75">
        <f t="shared" si="14"/>
        <v>0.99998842592592585</v>
      </c>
      <c r="G109" s="76" t="str">
        <f t="shared" si="15"/>
        <v xml:space="preserve">
</v>
      </c>
    </row>
    <row r="110" spans="1:7" s="56" customFormat="1" ht="18" customHeight="1">
      <c r="A110" s="86">
        <f t="shared" si="16"/>
        <v>43204</v>
      </c>
      <c r="B110" s="87" t="s">
        <v>41</v>
      </c>
      <c r="C110" s="88"/>
      <c r="D110" s="88"/>
      <c r="E110" s="82">
        <f t="shared" si="13"/>
        <v>0</v>
      </c>
      <c r="F110" s="75">
        <f t="shared" si="14"/>
        <v>0.99998842592592585</v>
      </c>
      <c r="G110" s="76" t="str">
        <f t="shared" si="15"/>
        <v xml:space="preserve">
</v>
      </c>
    </row>
    <row r="111" spans="1:7" s="56" customFormat="1" ht="18" customHeight="1">
      <c r="A111" s="86">
        <f t="shared" si="16"/>
        <v>43205</v>
      </c>
      <c r="B111" s="87" t="s">
        <v>41</v>
      </c>
      <c r="C111" s="88"/>
      <c r="D111" s="88"/>
      <c r="E111" s="82">
        <f t="shared" si="13"/>
        <v>0</v>
      </c>
      <c r="F111" s="75">
        <f t="shared" si="14"/>
        <v>0.99998842592592585</v>
      </c>
      <c r="G111" s="76" t="str">
        <f t="shared" si="15"/>
        <v xml:space="preserve">
</v>
      </c>
    </row>
    <row r="112" spans="1:7" s="56" customFormat="1" ht="18" customHeight="1">
      <c r="A112" s="86">
        <f t="shared" si="16"/>
        <v>43206</v>
      </c>
      <c r="B112" s="87" t="s">
        <v>41</v>
      </c>
      <c r="C112" s="88"/>
      <c r="D112" s="88"/>
      <c r="E112" s="82">
        <f t="shared" si="13"/>
        <v>0</v>
      </c>
      <c r="F112" s="75">
        <f t="shared" si="14"/>
        <v>0.99998842592592585</v>
      </c>
      <c r="G112" s="76" t="str">
        <f t="shared" si="15"/>
        <v xml:space="preserve">
</v>
      </c>
    </row>
    <row r="113" spans="1:7" s="56" customFormat="1" ht="18" customHeight="1">
      <c r="A113" s="86">
        <f t="shared" si="16"/>
        <v>43207</v>
      </c>
      <c r="B113" s="87" t="s">
        <v>41</v>
      </c>
      <c r="C113" s="88"/>
      <c r="D113" s="88"/>
      <c r="E113" s="82">
        <f t="shared" si="13"/>
        <v>0</v>
      </c>
      <c r="F113" s="75">
        <f t="shared" si="14"/>
        <v>0.99998842592592585</v>
      </c>
      <c r="G113" s="76" t="str">
        <f t="shared" si="15"/>
        <v xml:space="preserve">
</v>
      </c>
    </row>
    <row r="114" spans="1:7" s="56" customFormat="1" ht="18" customHeight="1">
      <c r="A114" s="86">
        <f t="shared" si="16"/>
        <v>43208</v>
      </c>
      <c r="B114" s="87" t="s">
        <v>41</v>
      </c>
      <c r="C114" s="88"/>
      <c r="D114" s="88"/>
      <c r="E114" s="82">
        <f t="shared" si="13"/>
        <v>0</v>
      </c>
      <c r="F114" s="75">
        <f t="shared" si="14"/>
        <v>0.99998842592592585</v>
      </c>
      <c r="G114" s="76" t="str">
        <f t="shared" si="15"/>
        <v xml:space="preserve">
</v>
      </c>
    </row>
    <row r="115" spans="1:7" s="56" customFormat="1" ht="18" customHeight="1">
      <c r="A115" s="86">
        <f t="shared" si="16"/>
        <v>43209</v>
      </c>
      <c r="B115" s="87" t="s">
        <v>41</v>
      </c>
      <c r="C115" s="88"/>
      <c r="D115" s="88"/>
      <c r="E115" s="82">
        <f t="shared" si="13"/>
        <v>0</v>
      </c>
      <c r="F115" s="75">
        <f t="shared" si="14"/>
        <v>0.99998842592592585</v>
      </c>
      <c r="G115" s="76" t="str">
        <f t="shared" si="15"/>
        <v xml:space="preserve">
</v>
      </c>
    </row>
    <row r="116" spans="1:7" s="56" customFormat="1" ht="18" customHeight="1">
      <c r="A116" s="86">
        <f t="shared" si="16"/>
        <v>43210</v>
      </c>
      <c r="B116" s="87" t="s">
        <v>41</v>
      </c>
      <c r="C116" s="88"/>
      <c r="D116" s="88"/>
      <c r="E116" s="82">
        <f t="shared" si="13"/>
        <v>0</v>
      </c>
      <c r="F116" s="75">
        <f t="shared" si="14"/>
        <v>0.99998842592592585</v>
      </c>
      <c r="G116" s="76" t="str">
        <f t="shared" si="15"/>
        <v xml:space="preserve">
</v>
      </c>
    </row>
    <row r="117" spans="1:7" s="56" customFormat="1" ht="18" customHeight="1">
      <c r="A117" s="86">
        <f t="shared" si="16"/>
        <v>43211</v>
      </c>
      <c r="B117" s="87" t="s">
        <v>41</v>
      </c>
      <c r="C117" s="88"/>
      <c r="D117" s="88"/>
      <c r="E117" s="82">
        <f t="shared" si="13"/>
        <v>0</v>
      </c>
      <c r="F117" s="75">
        <f t="shared" si="14"/>
        <v>0.99998842592592585</v>
      </c>
      <c r="G117" s="76" t="str">
        <f t="shared" si="15"/>
        <v xml:space="preserve">
</v>
      </c>
    </row>
    <row r="118" spans="1:7" s="56" customFormat="1" ht="18" customHeight="1">
      <c r="A118" s="86">
        <f t="shared" si="16"/>
        <v>43212</v>
      </c>
      <c r="B118" s="87" t="s">
        <v>41</v>
      </c>
      <c r="C118" s="88"/>
      <c r="D118" s="88"/>
      <c r="E118" s="82">
        <f t="shared" si="13"/>
        <v>0</v>
      </c>
      <c r="F118" s="75">
        <f t="shared" si="14"/>
        <v>0.99998842592592585</v>
      </c>
      <c r="G118" s="76" t="str">
        <f t="shared" si="15"/>
        <v xml:space="preserve">
</v>
      </c>
    </row>
    <row r="119" spans="1:7" s="56" customFormat="1" ht="18" customHeight="1">
      <c r="A119" s="86">
        <f t="shared" si="16"/>
        <v>43213</v>
      </c>
      <c r="B119" s="87" t="s">
        <v>41</v>
      </c>
      <c r="C119" s="88"/>
      <c r="D119" s="88"/>
      <c r="E119" s="82">
        <f t="shared" si="13"/>
        <v>0</v>
      </c>
      <c r="F119" s="75">
        <f t="shared" si="14"/>
        <v>0.99998842592592585</v>
      </c>
      <c r="G119" s="76" t="str">
        <f t="shared" si="15"/>
        <v xml:space="preserve">
</v>
      </c>
    </row>
    <row r="120" spans="1:7" s="56" customFormat="1" ht="18" customHeight="1">
      <c r="A120" s="86">
        <f t="shared" si="16"/>
        <v>43214</v>
      </c>
      <c r="B120" s="87" t="s">
        <v>41</v>
      </c>
      <c r="C120" s="88"/>
      <c r="D120" s="88"/>
      <c r="E120" s="82">
        <f t="shared" si="13"/>
        <v>0</v>
      </c>
      <c r="F120" s="75">
        <f t="shared" si="14"/>
        <v>0.99998842592592585</v>
      </c>
      <c r="G120" s="76" t="str">
        <f t="shared" si="15"/>
        <v xml:space="preserve">
</v>
      </c>
    </row>
    <row r="121" spans="1:7" s="56" customFormat="1" ht="18" customHeight="1">
      <c r="A121" s="86">
        <f t="shared" si="16"/>
        <v>43215</v>
      </c>
      <c r="B121" s="87" t="s">
        <v>41</v>
      </c>
      <c r="C121" s="88"/>
      <c r="D121" s="88"/>
      <c r="E121" s="82">
        <f t="shared" si="13"/>
        <v>0</v>
      </c>
      <c r="F121" s="75">
        <f t="shared" si="14"/>
        <v>0.99998842592592585</v>
      </c>
      <c r="G121" s="76" t="str">
        <f t="shared" si="15"/>
        <v xml:space="preserve">
</v>
      </c>
    </row>
    <row r="122" spans="1:7" s="56" customFormat="1" ht="18" customHeight="1">
      <c r="A122" s="86">
        <f t="shared" si="16"/>
        <v>43216</v>
      </c>
      <c r="B122" s="87" t="s">
        <v>41</v>
      </c>
      <c r="C122" s="88"/>
      <c r="D122" s="88"/>
      <c r="E122" s="82">
        <f t="shared" si="13"/>
        <v>0</v>
      </c>
      <c r="F122" s="75">
        <f t="shared" si="14"/>
        <v>0.99998842592592585</v>
      </c>
      <c r="G122" s="76" t="str">
        <f t="shared" si="15"/>
        <v xml:space="preserve">
</v>
      </c>
    </row>
    <row r="123" spans="1:7" s="56" customFormat="1" ht="18" customHeight="1">
      <c r="A123" s="86">
        <f t="shared" si="16"/>
        <v>43217</v>
      </c>
      <c r="B123" s="87" t="s">
        <v>41</v>
      </c>
      <c r="C123" s="88"/>
      <c r="D123" s="88"/>
      <c r="E123" s="82">
        <f t="shared" si="13"/>
        <v>0</v>
      </c>
      <c r="F123" s="75">
        <f t="shared" si="14"/>
        <v>0.99998842592592585</v>
      </c>
      <c r="G123" s="76" t="str">
        <f t="shared" si="15"/>
        <v xml:space="preserve">
</v>
      </c>
    </row>
    <row r="124" spans="1:7" s="56" customFormat="1" ht="18" customHeight="1">
      <c r="A124" s="86">
        <f t="shared" si="16"/>
        <v>43218</v>
      </c>
      <c r="B124" s="87" t="s">
        <v>41</v>
      </c>
      <c r="C124" s="88"/>
      <c r="D124" s="88"/>
      <c r="E124" s="82">
        <f t="shared" si="13"/>
        <v>0</v>
      </c>
      <c r="F124" s="75">
        <f t="shared" si="14"/>
        <v>0.99998842592592585</v>
      </c>
      <c r="G124" s="76" t="str">
        <f t="shared" si="15"/>
        <v xml:space="preserve">
</v>
      </c>
    </row>
    <row r="125" spans="1:7" s="56" customFormat="1" ht="18" customHeight="1">
      <c r="A125" s="86">
        <f t="shared" si="16"/>
        <v>43219</v>
      </c>
      <c r="B125" s="87" t="s">
        <v>41</v>
      </c>
      <c r="C125" s="88"/>
      <c r="D125" s="88"/>
      <c r="E125" s="82">
        <f t="shared" si="13"/>
        <v>0</v>
      </c>
      <c r="F125" s="75">
        <f t="shared" si="14"/>
        <v>0.99998842592592585</v>
      </c>
      <c r="G125" s="76" t="str">
        <f t="shared" si="15"/>
        <v xml:space="preserve">
</v>
      </c>
    </row>
    <row r="126" spans="1:7" s="56" customFormat="1" ht="18" customHeight="1">
      <c r="A126" s="86">
        <f t="shared" si="16"/>
        <v>43220</v>
      </c>
      <c r="B126" s="87" t="s">
        <v>41</v>
      </c>
      <c r="C126" s="88"/>
      <c r="D126" s="88"/>
      <c r="E126" s="82">
        <f t="shared" si="13"/>
        <v>0</v>
      </c>
      <c r="F126" s="75">
        <f t="shared" si="14"/>
        <v>0.99998842592592585</v>
      </c>
      <c r="G126" s="76" t="str">
        <f t="shared" si="15"/>
        <v xml:space="preserve">
</v>
      </c>
    </row>
    <row r="127" spans="1:7" s="56" customFormat="1" ht="18" customHeight="1">
      <c r="A127" s="130" t="s">
        <v>4</v>
      </c>
      <c r="B127" s="130"/>
      <c r="C127" s="130"/>
      <c r="D127" s="130"/>
      <c r="E127" s="131"/>
      <c r="F127" s="131"/>
      <c r="G127" s="132"/>
    </row>
    <row r="128" spans="1:7" s="56" customFormat="1" ht="18" customHeight="1">
      <c r="A128" s="86">
        <f>DATE(Konfiguration!$B$2,5,1)</f>
        <v>43221</v>
      </c>
      <c r="B128" s="87" t="s">
        <v>41</v>
      </c>
      <c r="C128" s="88"/>
      <c r="D128" s="88"/>
      <c r="E128" s="82">
        <f t="shared" ref="E128:E146" si="17">IF(C128="",TIME(0,0,0),C128)</f>
        <v>0</v>
      </c>
      <c r="F128" s="75">
        <f t="shared" ref="F128:F158" si="18">IF(D128="",TIME(23,59,59),D128)</f>
        <v>0.99998842592592585</v>
      </c>
      <c r="G128" s="76" t="str">
        <f t="shared" ref="G128:G158" si="19">IF(C128="","",TEXT(C128,"HH:MM"))&amp; LINE_BREAK  &amp; IF(D128="","",TEXT(D128,"HH:MM"))</f>
        <v xml:space="preserve">
</v>
      </c>
    </row>
    <row r="129" spans="1:7" s="56" customFormat="1" ht="18" customHeight="1">
      <c r="A129" s="86">
        <f t="shared" ref="A129:A158" si="20">A128+1</f>
        <v>43222</v>
      </c>
      <c r="B129" s="87" t="s">
        <v>41</v>
      </c>
      <c r="C129" s="88"/>
      <c r="D129" s="88"/>
      <c r="E129" s="82">
        <f t="shared" si="17"/>
        <v>0</v>
      </c>
      <c r="F129" s="75">
        <f t="shared" si="18"/>
        <v>0.99998842592592585</v>
      </c>
      <c r="G129" s="76" t="str">
        <f t="shared" si="19"/>
        <v xml:space="preserve">
</v>
      </c>
    </row>
    <row r="130" spans="1:7" s="56" customFormat="1" ht="18" customHeight="1">
      <c r="A130" s="86">
        <f t="shared" si="20"/>
        <v>43223</v>
      </c>
      <c r="B130" s="87" t="s">
        <v>41</v>
      </c>
      <c r="C130" s="88"/>
      <c r="D130" s="88"/>
      <c r="E130" s="82">
        <f t="shared" si="17"/>
        <v>0</v>
      </c>
      <c r="F130" s="75">
        <f t="shared" si="18"/>
        <v>0.99998842592592585</v>
      </c>
      <c r="G130" s="76" t="str">
        <f t="shared" si="19"/>
        <v xml:space="preserve">
</v>
      </c>
    </row>
    <row r="131" spans="1:7" s="56" customFormat="1" ht="18" customHeight="1">
      <c r="A131" s="86">
        <f t="shared" si="20"/>
        <v>43224</v>
      </c>
      <c r="B131" s="87" t="s">
        <v>41</v>
      </c>
      <c r="C131" s="88"/>
      <c r="D131" s="88"/>
      <c r="E131" s="82">
        <f t="shared" si="17"/>
        <v>0</v>
      </c>
      <c r="F131" s="75">
        <f t="shared" si="18"/>
        <v>0.99998842592592585</v>
      </c>
      <c r="G131" s="76" t="str">
        <f t="shared" si="19"/>
        <v xml:space="preserve">
</v>
      </c>
    </row>
    <row r="132" spans="1:7" s="56" customFormat="1" ht="18" customHeight="1">
      <c r="A132" s="86">
        <f t="shared" si="20"/>
        <v>43225</v>
      </c>
      <c r="B132" s="87" t="s">
        <v>41</v>
      </c>
      <c r="C132" s="88"/>
      <c r="D132" s="88"/>
      <c r="E132" s="82">
        <f t="shared" si="17"/>
        <v>0</v>
      </c>
      <c r="F132" s="75">
        <f t="shared" si="18"/>
        <v>0.99998842592592585</v>
      </c>
      <c r="G132" s="76" t="str">
        <f t="shared" si="19"/>
        <v xml:space="preserve">
</v>
      </c>
    </row>
    <row r="133" spans="1:7" s="56" customFormat="1" ht="18" customHeight="1">
      <c r="A133" s="86">
        <f t="shared" si="20"/>
        <v>43226</v>
      </c>
      <c r="B133" s="87" t="s">
        <v>41</v>
      </c>
      <c r="C133" s="88"/>
      <c r="D133" s="88"/>
      <c r="E133" s="82">
        <f t="shared" si="17"/>
        <v>0</v>
      </c>
      <c r="F133" s="75">
        <f t="shared" si="18"/>
        <v>0.99998842592592585</v>
      </c>
      <c r="G133" s="76" t="str">
        <f t="shared" si="19"/>
        <v xml:space="preserve">
</v>
      </c>
    </row>
    <row r="134" spans="1:7" s="56" customFormat="1" ht="18" customHeight="1">
      <c r="A134" s="86">
        <f t="shared" si="20"/>
        <v>43227</v>
      </c>
      <c r="B134" s="87" t="s">
        <v>41</v>
      </c>
      <c r="C134" s="88"/>
      <c r="D134" s="88"/>
      <c r="E134" s="82">
        <f t="shared" si="17"/>
        <v>0</v>
      </c>
      <c r="F134" s="75">
        <f t="shared" si="18"/>
        <v>0.99998842592592585</v>
      </c>
      <c r="G134" s="76" t="str">
        <f t="shared" si="19"/>
        <v xml:space="preserve">
</v>
      </c>
    </row>
    <row r="135" spans="1:7" s="56" customFormat="1" ht="18" customHeight="1">
      <c r="A135" s="86">
        <f t="shared" si="20"/>
        <v>43228</v>
      </c>
      <c r="B135" s="87" t="s">
        <v>41</v>
      </c>
      <c r="C135" s="88"/>
      <c r="D135" s="88"/>
      <c r="E135" s="82">
        <f t="shared" si="17"/>
        <v>0</v>
      </c>
      <c r="F135" s="75">
        <f t="shared" si="18"/>
        <v>0.99998842592592585</v>
      </c>
      <c r="G135" s="76" t="str">
        <f t="shared" si="19"/>
        <v xml:space="preserve">
</v>
      </c>
    </row>
    <row r="136" spans="1:7" s="56" customFormat="1" ht="18" customHeight="1">
      <c r="A136" s="86">
        <f t="shared" si="20"/>
        <v>43229</v>
      </c>
      <c r="B136" s="87" t="s">
        <v>41</v>
      </c>
      <c r="C136" s="88"/>
      <c r="D136" s="88"/>
      <c r="E136" s="82">
        <f t="shared" si="17"/>
        <v>0</v>
      </c>
      <c r="F136" s="75">
        <f t="shared" si="18"/>
        <v>0.99998842592592585</v>
      </c>
      <c r="G136" s="76" t="str">
        <f t="shared" si="19"/>
        <v xml:space="preserve">
</v>
      </c>
    </row>
    <row r="137" spans="1:7" s="56" customFormat="1" ht="18" customHeight="1">
      <c r="A137" s="86">
        <f t="shared" si="20"/>
        <v>43230</v>
      </c>
      <c r="B137" s="87" t="s">
        <v>41</v>
      </c>
      <c r="C137" s="88"/>
      <c r="D137" s="88"/>
      <c r="E137" s="82">
        <f t="shared" si="17"/>
        <v>0</v>
      </c>
      <c r="F137" s="75">
        <f t="shared" si="18"/>
        <v>0.99998842592592585</v>
      </c>
      <c r="G137" s="76" t="str">
        <f>IF(C137="","",TEXT(C137,"HH:MM")) &amp; LINE_BREAK  &amp; IF(D137="","",TEXT(D137,"HH:MM"))</f>
        <v xml:space="preserve">
</v>
      </c>
    </row>
    <row r="138" spans="1:7" s="56" customFormat="1" ht="18" customHeight="1">
      <c r="A138" s="86">
        <f t="shared" si="20"/>
        <v>43231</v>
      </c>
      <c r="B138" s="87" t="s">
        <v>41</v>
      </c>
      <c r="C138" s="88"/>
      <c r="D138" s="88"/>
      <c r="E138" s="82">
        <f t="shared" si="17"/>
        <v>0</v>
      </c>
      <c r="F138" s="75">
        <f t="shared" si="18"/>
        <v>0.99998842592592585</v>
      </c>
      <c r="G138" s="76" t="str">
        <f t="shared" si="19"/>
        <v xml:space="preserve">
</v>
      </c>
    </row>
    <row r="139" spans="1:7" s="56" customFormat="1" ht="18" customHeight="1">
      <c r="A139" s="86">
        <f t="shared" si="20"/>
        <v>43232</v>
      </c>
      <c r="B139" s="87" t="s">
        <v>41</v>
      </c>
      <c r="C139" s="88"/>
      <c r="D139" s="88"/>
      <c r="E139" s="82">
        <f t="shared" si="17"/>
        <v>0</v>
      </c>
      <c r="F139" s="75">
        <f t="shared" si="18"/>
        <v>0.99998842592592585</v>
      </c>
      <c r="G139" s="76" t="str">
        <f t="shared" si="19"/>
        <v xml:space="preserve">
</v>
      </c>
    </row>
    <row r="140" spans="1:7" s="56" customFormat="1" ht="18" customHeight="1">
      <c r="A140" s="86">
        <f t="shared" si="20"/>
        <v>43233</v>
      </c>
      <c r="B140" s="87" t="s">
        <v>41</v>
      </c>
      <c r="C140" s="88"/>
      <c r="D140" s="88"/>
      <c r="E140" s="82">
        <f t="shared" si="17"/>
        <v>0</v>
      </c>
      <c r="F140" s="75">
        <f t="shared" si="18"/>
        <v>0.99998842592592585</v>
      </c>
      <c r="G140" s="76" t="str">
        <f t="shared" si="19"/>
        <v xml:space="preserve">
</v>
      </c>
    </row>
    <row r="141" spans="1:7" s="56" customFormat="1" ht="18" customHeight="1">
      <c r="A141" s="86">
        <f t="shared" si="20"/>
        <v>43234</v>
      </c>
      <c r="B141" s="87" t="s">
        <v>41</v>
      </c>
      <c r="C141" s="88"/>
      <c r="D141" s="88"/>
      <c r="E141" s="82">
        <f t="shared" si="17"/>
        <v>0</v>
      </c>
      <c r="F141" s="75">
        <f t="shared" si="18"/>
        <v>0.99998842592592585</v>
      </c>
      <c r="G141" s="76" t="str">
        <f t="shared" si="19"/>
        <v xml:space="preserve">
</v>
      </c>
    </row>
    <row r="142" spans="1:7" s="56" customFormat="1" ht="18" customHeight="1">
      <c r="A142" s="86">
        <f t="shared" si="20"/>
        <v>43235</v>
      </c>
      <c r="B142" s="87" t="s">
        <v>41</v>
      </c>
      <c r="C142" s="88"/>
      <c r="D142" s="88"/>
      <c r="E142" s="82">
        <f t="shared" si="17"/>
        <v>0</v>
      </c>
      <c r="F142" s="75">
        <f t="shared" si="18"/>
        <v>0.99998842592592585</v>
      </c>
      <c r="G142" s="76" t="str">
        <f t="shared" si="19"/>
        <v xml:space="preserve">
</v>
      </c>
    </row>
    <row r="143" spans="1:7" s="56" customFormat="1" ht="18" customHeight="1">
      <c r="A143" s="86">
        <f t="shared" si="20"/>
        <v>43236</v>
      </c>
      <c r="B143" s="87" t="s">
        <v>41</v>
      </c>
      <c r="C143" s="88"/>
      <c r="D143" s="88"/>
      <c r="E143" s="82">
        <f t="shared" si="17"/>
        <v>0</v>
      </c>
      <c r="F143" s="75">
        <f t="shared" si="18"/>
        <v>0.99998842592592585</v>
      </c>
      <c r="G143" s="76" t="str">
        <f t="shared" si="19"/>
        <v xml:space="preserve">
</v>
      </c>
    </row>
    <row r="144" spans="1:7" s="56" customFormat="1" ht="18" customHeight="1">
      <c r="A144" s="86">
        <f t="shared" si="20"/>
        <v>43237</v>
      </c>
      <c r="B144" s="87" t="s">
        <v>41</v>
      </c>
      <c r="C144" s="88"/>
      <c r="D144" s="88"/>
      <c r="E144" s="82">
        <f t="shared" si="17"/>
        <v>0</v>
      </c>
      <c r="F144" s="75">
        <f t="shared" si="18"/>
        <v>0.99998842592592585</v>
      </c>
      <c r="G144" s="76" t="str">
        <f t="shared" si="19"/>
        <v xml:space="preserve">
</v>
      </c>
    </row>
    <row r="145" spans="1:7" s="56" customFormat="1" ht="18" customHeight="1">
      <c r="A145" s="86">
        <f t="shared" si="20"/>
        <v>43238</v>
      </c>
      <c r="B145" s="87" t="s">
        <v>41</v>
      </c>
      <c r="C145" s="88"/>
      <c r="D145" s="88"/>
      <c r="E145" s="82">
        <f t="shared" si="17"/>
        <v>0</v>
      </c>
      <c r="F145" s="75">
        <f t="shared" si="18"/>
        <v>0.99998842592592585</v>
      </c>
      <c r="G145" s="76" t="str">
        <f t="shared" si="19"/>
        <v xml:space="preserve">
</v>
      </c>
    </row>
    <row r="146" spans="1:7" s="56" customFormat="1" ht="18" customHeight="1">
      <c r="A146" s="86">
        <f t="shared" si="20"/>
        <v>43239</v>
      </c>
      <c r="B146" s="87" t="s">
        <v>41</v>
      </c>
      <c r="C146" s="88"/>
      <c r="D146" s="88"/>
      <c r="E146" s="82">
        <f t="shared" si="17"/>
        <v>0</v>
      </c>
      <c r="F146" s="75">
        <f t="shared" si="18"/>
        <v>0.99998842592592585</v>
      </c>
      <c r="G146" s="76" t="str">
        <f t="shared" si="19"/>
        <v xml:space="preserve">
</v>
      </c>
    </row>
    <row r="147" spans="1:7" s="56" customFormat="1" ht="18" customHeight="1">
      <c r="A147" s="86">
        <f t="shared" si="20"/>
        <v>43240</v>
      </c>
      <c r="B147" s="87" t="s">
        <v>41</v>
      </c>
      <c r="C147" s="88"/>
      <c r="D147" s="88"/>
      <c r="E147" s="82">
        <f t="shared" ref="E147:E158" si="21">IF(C147="",TIME(0,0,0),C147)</f>
        <v>0</v>
      </c>
      <c r="F147" s="75">
        <f t="shared" si="18"/>
        <v>0.99998842592592585</v>
      </c>
      <c r="G147" s="76" t="str">
        <f t="shared" si="19"/>
        <v xml:space="preserve">
</v>
      </c>
    </row>
    <row r="148" spans="1:7" s="56" customFormat="1" ht="18" customHeight="1">
      <c r="A148" s="86">
        <f t="shared" si="20"/>
        <v>43241</v>
      </c>
      <c r="B148" s="87" t="s">
        <v>41</v>
      </c>
      <c r="C148" s="88"/>
      <c r="D148" s="88"/>
      <c r="E148" s="82">
        <f t="shared" si="21"/>
        <v>0</v>
      </c>
      <c r="F148" s="75">
        <f t="shared" si="18"/>
        <v>0.99998842592592585</v>
      </c>
      <c r="G148" s="76" t="str">
        <f t="shared" si="19"/>
        <v xml:space="preserve">
</v>
      </c>
    </row>
    <row r="149" spans="1:7" s="56" customFormat="1" ht="18" customHeight="1">
      <c r="A149" s="86">
        <f t="shared" si="20"/>
        <v>43242</v>
      </c>
      <c r="B149" s="87" t="s">
        <v>41</v>
      </c>
      <c r="C149" s="88"/>
      <c r="D149" s="88"/>
      <c r="E149" s="82">
        <f t="shared" si="21"/>
        <v>0</v>
      </c>
      <c r="F149" s="75">
        <f t="shared" si="18"/>
        <v>0.99998842592592585</v>
      </c>
      <c r="G149" s="76" t="str">
        <f t="shared" si="19"/>
        <v xml:space="preserve">
</v>
      </c>
    </row>
    <row r="150" spans="1:7" s="56" customFormat="1" ht="18" customHeight="1">
      <c r="A150" s="86">
        <f t="shared" si="20"/>
        <v>43243</v>
      </c>
      <c r="B150" s="87" t="s">
        <v>41</v>
      </c>
      <c r="C150" s="88"/>
      <c r="D150" s="88"/>
      <c r="E150" s="82">
        <f t="shared" si="21"/>
        <v>0</v>
      </c>
      <c r="F150" s="75">
        <f t="shared" si="18"/>
        <v>0.99998842592592585</v>
      </c>
      <c r="G150" s="76" t="str">
        <f t="shared" si="19"/>
        <v xml:space="preserve">
</v>
      </c>
    </row>
    <row r="151" spans="1:7" s="56" customFormat="1" ht="18" customHeight="1">
      <c r="A151" s="86">
        <f t="shared" si="20"/>
        <v>43244</v>
      </c>
      <c r="B151" s="87" t="s">
        <v>41</v>
      </c>
      <c r="C151" s="88"/>
      <c r="D151" s="88"/>
      <c r="E151" s="82">
        <f t="shared" si="21"/>
        <v>0</v>
      </c>
      <c r="F151" s="75">
        <f t="shared" si="18"/>
        <v>0.99998842592592585</v>
      </c>
      <c r="G151" s="76" t="str">
        <f t="shared" si="19"/>
        <v xml:space="preserve">
</v>
      </c>
    </row>
    <row r="152" spans="1:7" s="56" customFormat="1" ht="18" customHeight="1">
      <c r="A152" s="86">
        <f t="shared" si="20"/>
        <v>43245</v>
      </c>
      <c r="B152" s="87" t="s">
        <v>41</v>
      </c>
      <c r="C152" s="88"/>
      <c r="D152" s="88"/>
      <c r="E152" s="82">
        <f t="shared" si="21"/>
        <v>0</v>
      </c>
      <c r="F152" s="75">
        <f t="shared" si="18"/>
        <v>0.99998842592592585</v>
      </c>
      <c r="G152" s="76" t="str">
        <f t="shared" si="19"/>
        <v xml:space="preserve">
</v>
      </c>
    </row>
    <row r="153" spans="1:7" s="56" customFormat="1" ht="18" customHeight="1">
      <c r="A153" s="86">
        <f t="shared" si="20"/>
        <v>43246</v>
      </c>
      <c r="B153" s="87" t="s">
        <v>41</v>
      </c>
      <c r="C153" s="88"/>
      <c r="D153" s="88"/>
      <c r="E153" s="82">
        <f t="shared" si="21"/>
        <v>0</v>
      </c>
      <c r="F153" s="75">
        <f t="shared" si="18"/>
        <v>0.99998842592592585</v>
      </c>
      <c r="G153" s="76" t="str">
        <f t="shared" si="19"/>
        <v xml:space="preserve">
</v>
      </c>
    </row>
    <row r="154" spans="1:7" s="56" customFormat="1" ht="18" customHeight="1">
      <c r="A154" s="86">
        <f t="shared" si="20"/>
        <v>43247</v>
      </c>
      <c r="B154" s="87" t="s">
        <v>41</v>
      </c>
      <c r="C154" s="88"/>
      <c r="D154" s="88"/>
      <c r="E154" s="82">
        <f t="shared" si="21"/>
        <v>0</v>
      </c>
      <c r="F154" s="75">
        <f t="shared" si="18"/>
        <v>0.99998842592592585</v>
      </c>
      <c r="G154" s="76" t="str">
        <f t="shared" si="19"/>
        <v xml:space="preserve">
</v>
      </c>
    </row>
    <row r="155" spans="1:7" s="56" customFormat="1" ht="18" customHeight="1">
      <c r="A155" s="86">
        <f t="shared" si="20"/>
        <v>43248</v>
      </c>
      <c r="B155" s="87" t="s">
        <v>41</v>
      </c>
      <c r="C155" s="88"/>
      <c r="D155" s="88"/>
      <c r="E155" s="82">
        <f t="shared" si="21"/>
        <v>0</v>
      </c>
      <c r="F155" s="75">
        <f t="shared" si="18"/>
        <v>0.99998842592592585</v>
      </c>
      <c r="G155" s="76" t="str">
        <f t="shared" si="19"/>
        <v xml:space="preserve">
</v>
      </c>
    </row>
    <row r="156" spans="1:7" s="56" customFormat="1" ht="18" customHeight="1">
      <c r="A156" s="86">
        <f t="shared" si="20"/>
        <v>43249</v>
      </c>
      <c r="B156" s="87" t="s">
        <v>41</v>
      </c>
      <c r="C156" s="88"/>
      <c r="D156" s="88"/>
      <c r="E156" s="82">
        <f t="shared" si="21"/>
        <v>0</v>
      </c>
      <c r="F156" s="75">
        <f t="shared" si="18"/>
        <v>0.99998842592592585</v>
      </c>
      <c r="G156" s="76" t="str">
        <f t="shared" si="19"/>
        <v xml:space="preserve">
</v>
      </c>
    </row>
    <row r="157" spans="1:7" s="56" customFormat="1" ht="18" customHeight="1">
      <c r="A157" s="86">
        <f t="shared" si="20"/>
        <v>43250</v>
      </c>
      <c r="B157" s="87" t="s">
        <v>41</v>
      </c>
      <c r="C157" s="88"/>
      <c r="D157" s="88"/>
      <c r="E157" s="82">
        <f t="shared" si="21"/>
        <v>0</v>
      </c>
      <c r="F157" s="75">
        <f t="shared" si="18"/>
        <v>0.99998842592592585</v>
      </c>
      <c r="G157" s="76" t="str">
        <f t="shared" si="19"/>
        <v xml:space="preserve">
</v>
      </c>
    </row>
    <row r="158" spans="1:7" s="56" customFormat="1" ht="18" customHeight="1">
      <c r="A158" s="86">
        <f t="shared" si="20"/>
        <v>43251</v>
      </c>
      <c r="B158" s="87" t="s">
        <v>41</v>
      </c>
      <c r="C158" s="88"/>
      <c r="D158" s="88"/>
      <c r="E158" s="82">
        <f t="shared" si="21"/>
        <v>0</v>
      </c>
      <c r="F158" s="75">
        <f t="shared" si="18"/>
        <v>0.99998842592592585</v>
      </c>
      <c r="G158" s="76" t="str">
        <f t="shared" si="19"/>
        <v xml:space="preserve">
</v>
      </c>
    </row>
    <row r="159" spans="1:7" s="56" customFormat="1" ht="18" customHeight="1">
      <c r="A159" s="130" t="s">
        <v>5</v>
      </c>
      <c r="B159" s="130"/>
      <c r="C159" s="130"/>
      <c r="D159" s="130"/>
      <c r="E159" s="131"/>
      <c r="F159" s="131"/>
      <c r="G159" s="132"/>
    </row>
    <row r="160" spans="1:7" s="56" customFormat="1" ht="18" customHeight="1">
      <c r="A160" s="86">
        <f>DATE(Konfiguration!$B$2,6,1)</f>
        <v>43252</v>
      </c>
      <c r="B160" s="87" t="s">
        <v>41</v>
      </c>
      <c r="C160" s="88"/>
      <c r="D160" s="88"/>
      <c r="E160" s="82">
        <f t="shared" ref="E160:E189" si="22">IF(C160="",TIME(0,0,0),C160)</f>
        <v>0</v>
      </c>
      <c r="F160" s="75">
        <f t="shared" ref="F160:F189" si="23">IF(D160="",TIME(23,59,59),D160)</f>
        <v>0.99998842592592585</v>
      </c>
      <c r="G160" s="76" t="str">
        <f t="shared" ref="G160:G189" si="24">IF(C160="","",TEXT(C160,"HH:MM"))&amp; LINE_BREAK  &amp; IF(D160="","",TEXT(D160,"HH:MM"))</f>
        <v xml:space="preserve">
</v>
      </c>
    </row>
    <row r="161" spans="1:7" s="56" customFormat="1" ht="18" customHeight="1">
      <c r="A161" s="86">
        <f t="shared" ref="A161:A189" si="25">A160+1</f>
        <v>43253</v>
      </c>
      <c r="B161" s="87" t="s">
        <v>41</v>
      </c>
      <c r="C161" s="88"/>
      <c r="D161" s="88"/>
      <c r="E161" s="82">
        <f t="shared" si="22"/>
        <v>0</v>
      </c>
      <c r="F161" s="75">
        <f t="shared" si="23"/>
        <v>0.99998842592592585</v>
      </c>
      <c r="G161" s="76" t="str">
        <f t="shared" si="24"/>
        <v xml:space="preserve">
</v>
      </c>
    </row>
    <row r="162" spans="1:7" s="56" customFormat="1" ht="18" customHeight="1">
      <c r="A162" s="86">
        <f t="shared" si="25"/>
        <v>43254</v>
      </c>
      <c r="B162" s="87" t="s">
        <v>41</v>
      </c>
      <c r="C162" s="88"/>
      <c r="D162" s="88"/>
      <c r="E162" s="82">
        <f t="shared" si="22"/>
        <v>0</v>
      </c>
      <c r="F162" s="75">
        <f t="shared" si="23"/>
        <v>0.99998842592592585</v>
      </c>
      <c r="G162" s="76" t="str">
        <f t="shared" si="24"/>
        <v xml:space="preserve">
</v>
      </c>
    </row>
    <row r="163" spans="1:7" s="56" customFormat="1" ht="18" customHeight="1">
      <c r="A163" s="86">
        <f t="shared" si="25"/>
        <v>43255</v>
      </c>
      <c r="B163" s="87" t="s">
        <v>41</v>
      </c>
      <c r="C163" s="88"/>
      <c r="D163" s="88"/>
      <c r="E163" s="82">
        <f t="shared" si="22"/>
        <v>0</v>
      </c>
      <c r="F163" s="75">
        <f t="shared" si="23"/>
        <v>0.99998842592592585</v>
      </c>
      <c r="G163" s="76" t="str">
        <f t="shared" si="24"/>
        <v xml:space="preserve">
</v>
      </c>
    </row>
    <row r="164" spans="1:7" s="56" customFormat="1" ht="18" customHeight="1">
      <c r="A164" s="86">
        <f t="shared" si="25"/>
        <v>43256</v>
      </c>
      <c r="B164" s="87" t="s">
        <v>41</v>
      </c>
      <c r="C164" s="88"/>
      <c r="D164" s="88"/>
      <c r="E164" s="82">
        <f t="shared" si="22"/>
        <v>0</v>
      </c>
      <c r="F164" s="75">
        <f t="shared" si="23"/>
        <v>0.99998842592592585</v>
      </c>
      <c r="G164" s="76" t="str">
        <f t="shared" si="24"/>
        <v xml:space="preserve">
</v>
      </c>
    </row>
    <row r="165" spans="1:7" s="56" customFormat="1" ht="18" customHeight="1">
      <c r="A165" s="86">
        <f t="shared" si="25"/>
        <v>43257</v>
      </c>
      <c r="B165" s="87" t="s">
        <v>41</v>
      </c>
      <c r="C165" s="88"/>
      <c r="D165" s="88"/>
      <c r="E165" s="82">
        <f t="shared" si="22"/>
        <v>0</v>
      </c>
      <c r="F165" s="75">
        <f t="shared" si="23"/>
        <v>0.99998842592592585</v>
      </c>
      <c r="G165" s="76" t="str">
        <f t="shared" si="24"/>
        <v xml:space="preserve">
</v>
      </c>
    </row>
    <row r="166" spans="1:7" s="56" customFormat="1" ht="18" customHeight="1">
      <c r="A166" s="86">
        <f t="shared" si="25"/>
        <v>43258</v>
      </c>
      <c r="B166" s="87" t="s">
        <v>41</v>
      </c>
      <c r="C166" s="88"/>
      <c r="D166" s="88"/>
      <c r="E166" s="82">
        <f t="shared" si="22"/>
        <v>0</v>
      </c>
      <c r="F166" s="75">
        <f t="shared" si="23"/>
        <v>0.99998842592592585</v>
      </c>
      <c r="G166" s="76" t="str">
        <f t="shared" si="24"/>
        <v xml:space="preserve">
</v>
      </c>
    </row>
    <row r="167" spans="1:7" s="56" customFormat="1" ht="18" customHeight="1">
      <c r="A167" s="86">
        <f t="shared" si="25"/>
        <v>43259</v>
      </c>
      <c r="B167" s="87" t="s">
        <v>41</v>
      </c>
      <c r="C167" s="88"/>
      <c r="D167" s="88"/>
      <c r="E167" s="82">
        <f t="shared" si="22"/>
        <v>0</v>
      </c>
      <c r="F167" s="75">
        <f t="shared" si="23"/>
        <v>0.99998842592592585</v>
      </c>
      <c r="G167" s="76" t="str">
        <f t="shared" si="24"/>
        <v xml:space="preserve">
</v>
      </c>
    </row>
    <row r="168" spans="1:7" s="56" customFormat="1" ht="18" customHeight="1">
      <c r="A168" s="86">
        <f t="shared" si="25"/>
        <v>43260</v>
      </c>
      <c r="B168" s="87" t="s">
        <v>41</v>
      </c>
      <c r="C168" s="88"/>
      <c r="D168" s="88"/>
      <c r="E168" s="82">
        <f t="shared" si="22"/>
        <v>0</v>
      </c>
      <c r="F168" s="75">
        <f t="shared" si="23"/>
        <v>0.99998842592592585</v>
      </c>
      <c r="G168" s="76" t="str">
        <f t="shared" si="24"/>
        <v xml:space="preserve">
</v>
      </c>
    </row>
    <row r="169" spans="1:7" s="56" customFormat="1" ht="18" customHeight="1">
      <c r="A169" s="86">
        <f t="shared" si="25"/>
        <v>43261</v>
      </c>
      <c r="B169" s="87" t="s">
        <v>41</v>
      </c>
      <c r="C169" s="88"/>
      <c r="D169" s="88"/>
      <c r="E169" s="82">
        <f t="shared" si="22"/>
        <v>0</v>
      </c>
      <c r="F169" s="75">
        <f t="shared" si="23"/>
        <v>0.99998842592592585</v>
      </c>
      <c r="G169" s="76" t="str">
        <f t="shared" si="24"/>
        <v xml:space="preserve">
</v>
      </c>
    </row>
    <row r="170" spans="1:7" s="56" customFormat="1" ht="18" customHeight="1">
      <c r="A170" s="86">
        <f t="shared" si="25"/>
        <v>43262</v>
      </c>
      <c r="B170" s="87" t="s">
        <v>41</v>
      </c>
      <c r="C170" s="88"/>
      <c r="D170" s="88"/>
      <c r="E170" s="82">
        <f t="shared" si="22"/>
        <v>0</v>
      </c>
      <c r="F170" s="75">
        <f t="shared" si="23"/>
        <v>0.99998842592592585</v>
      </c>
      <c r="G170" s="76" t="str">
        <f t="shared" si="24"/>
        <v xml:space="preserve">
</v>
      </c>
    </row>
    <row r="171" spans="1:7" s="56" customFormat="1" ht="18" customHeight="1">
      <c r="A171" s="86">
        <f t="shared" si="25"/>
        <v>43263</v>
      </c>
      <c r="B171" s="87" t="s">
        <v>41</v>
      </c>
      <c r="C171" s="88"/>
      <c r="D171" s="88"/>
      <c r="E171" s="82">
        <f t="shared" si="22"/>
        <v>0</v>
      </c>
      <c r="F171" s="75">
        <f t="shared" si="23"/>
        <v>0.99998842592592585</v>
      </c>
      <c r="G171" s="76" t="str">
        <f t="shared" si="24"/>
        <v xml:space="preserve">
</v>
      </c>
    </row>
    <row r="172" spans="1:7" s="56" customFormat="1" ht="18" customHeight="1">
      <c r="A172" s="86">
        <f t="shared" si="25"/>
        <v>43264</v>
      </c>
      <c r="B172" s="87" t="s">
        <v>41</v>
      </c>
      <c r="C172" s="88"/>
      <c r="D172" s="88"/>
      <c r="E172" s="82">
        <f t="shared" si="22"/>
        <v>0</v>
      </c>
      <c r="F172" s="75">
        <f t="shared" si="23"/>
        <v>0.99998842592592585</v>
      </c>
      <c r="G172" s="76" t="str">
        <f t="shared" si="24"/>
        <v xml:space="preserve">
</v>
      </c>
    </row>
    <row r="173" spans="1:7" s="56" customFormat="1" ht="18" customHeight="1">
      <c r="A173" s="86">
        <f t="shared" si="25"/>
        <v>43265</v>
      </c>
      <c r="B173" s="87" t="s">
        <v>41</v>
      </c>
      <c r="C173" s="88"/>
      <c r="D173" s="88"/>
      <c r="E173" s="82">
        <f t="shared" si="22"/>
        <v>0</v>
      </c>
      <c r="F173" s="75">
        <f t="shared" si="23"/>
        <v>0.99998842592592585</v>
      </c>
      <c r="G173" s="76" t="str">
        <f t="shared" si="24"/>
        <v xml:space="preserve">
</v>
      </c>
    </row>
    <row r="174" spans="1:7" s="56" customFormat="1" ht="18" customHeight="1">
      <c r="A174" s="86">
        <f t="shared" si="25"/>
        <v>43266</v>
      </c>
      <c r="B174" s="87" t="s">
        <v>41</v>
      </c>
      <c r="C174" s="88"/>
      <c r="D174" s="88"/>
      <c r="E174" s="82">
        <f t="shared" si="22"/>
        <v>0</v>
      </c>
      <c r="F174" s="75">
        <f t="shared" si="23"/>
        <v>0.99998842592592585</v>
      </c>
      <c r="G174" s="76" t="str">
        <f t="shared" si="24"/>
        <v xml:space="preserve">
</v>
      </c>
    </row>
    <row r="175" spans="1:7" s="56" customFormat="1" ht="18" customHeight="1">
      <c r="A175" s="86">
        <f t="shared" si="25"/>
        <v>43267</v>
      </c>
      <c r="B175" s="87" t="s">
        <v>41</v>
      </c>
      <c r="C175" s="88"/>
      <c r="D175" s="88"/>
      <c r="E175" s="82">
        <f t="shared" si="22"/>
        <v>0</v>
      </c>
      <c r="F175" s="75">
        <f t="shared" si="23"/>
        <v>0.99998842592592585</v>
      </c>
      <c r="G175" s="76" t="str">
        <f t="shared" si="24"/>
        <v xml:space="preserve">
</v>
      </c>
    </row>
    <row r="176" spans="1:7" s="56" customFormat="1" ht="18" customHeight="1">
      <c r="A176" s="86">
        <f t="shared" si="25"/>
        <v>43268</v>
      </c>
      <c r="B176" s="87" t="s">
        <v>41</v>
      </c>
      <c r="C176" s="88"/>
      <c r="D176" s="88"/>
      <c r="E176" s="82">
        <f t="shared" si="22"/>
        <v>0</v>
      </c>
      <c r="F176" s="75">
        <f t="shared" si="23"/>
        <v>0.99998842592592585</v>
      </c>
      <c r="G176" s="76" t="str">
        <f t="shared" si="24"/>
        <v xml:space="preserve">
</v>
      </c>
    </row>
    <row r="177" spans="1:7" s="56" customFormat="1" ht="18" customHeight="1">
      <c r="A177" s="86">
        <f t="shared" si="25"/>
        <v>43269</v>
      </c>
      <c r="B177" s="87" t="s">
        <v>41</v>
      </c>
      <c r="C177" s="88"/>
      <c r="D177" s="88"/>
      <c r="E177" s="82">
        <f t="shared" si="22"/>
        <v>0</v>
      </c>
      <c r="F177" s="75">
        <f t="shared" si="23"/>
        <v>0.99998842592592585</v>
      </c>
      <c r="G177" s="76" t="str">
        <f t="shared" si="24"/>
        <v xml:space="preserve">
</v>
      </c>
    </row>
    <row r="178" spans="1:7" s="56" customFormat="1" ht="18" customHeight="1">
      <c r="A178" s="86">
        <f t="shared" si="25"/>
        <v>43270</v>
      </c>
      <c r="B178" s="87" t="s">
        <v>41</v>
      </c>
      <c r="C178" s="88"/>
      <c r="D178" s="88"/>
      <c r="E178" s="82">
        <f t="shared" si="22"/>
        <v>0</v>
      </c>
      <c r="F178" s="75">
        <f t="shared" si="23"/>
        <v>0.99998842592592585</v>
      </c>
      <c r="G178" s="76" t="str">
        <f t="shared" si="24"/>
        <v xml:space="preserve">
</v>
      </c>
    </row>
    <row r="179" spans="1:7" s="56" customFormat="1" ht="18" customHeight="1">
      <c r="A179" s="86">
        <f t="shared" si="25"/>
        <v>43271</v>
      </c>
      <c r="B179" s="87" t="s">
        <v>41</v>
      </c>
      <c r="C179" s="88"/>
      <c r="D179" s="88"/>
      <c r="E179" s="82">
        <f t="shared" si="22"/>
        <v>0</v>
      </c>
      <c r="F179" s="75">
        <f t="shared" si="23"/>
        <v>0.99998842592592585</v>
      </c>
      <c r="G179" s="76" t="str">
        <f t="shared" si="24"/>
        <v xml:space="preserve">
</v>
      </c>
    </row>
    <row r="180" spans="1:7" s="56" customFormat="1" ht="18" customHeight="1">
      <c r="A180" s="86">
        <f t="shared" si="25"/>
        <v>43272</v>
      </c>
      <c r="B180" s="87" t="s">
        <v>41</v>
      </c>
      <c r="C180" s="88"/>
      <c r="D180" s="88"/>
      <c r="E180" s="82">
        <f t="shared" si="22"/>
        <v>0</v>
      </c>
      <c r="F180" s="75">
        <f t="shared" si="23"/>
        <v>0.99998842592592585</v>
      </c>
      <c r="G180" s="76" t="str">
        <f t="shared" si="24"/>
        <v xml:space="preserve">
</v>
      </c>
    </row>
    <row r="181" spans="1:7" s="56" customFormat="1" ht="18" customHeight="1">
      <c r="A181" s="86">
        <f t="shared" si="25"/>
        <v>43273</v>
      </c>
      <c r="B181" s="87" t="s">
        <v>41</v>
      </c>
      <c r="C181" s="88"/>
      <c r="D181" s="88"/>
      <c r="E181" s="82">
        <f t="shared" si="22"/>
        <v>0</v>
      </c>
      <c r="F181" s="75">
        <f t="shared" si="23"/>
        <v>0.99998842592592585</v>
      </c>
      <c r="G181" s="76" t="str">
        <f t="shared" si="24"/>
        <v xml:space="preserve">
</v>
      </c>
    </row>
    <row r="182" spans="1:7" s="56" customFormat="1" ht="18" customHeight="1">
      <c r="A182" s="86">
        <f t="shared" si="25"/>
        <v>43274</v>
      </c>
      <c r="B182" s="87" t="s">
        <v>41</v>
      </c>
      <c r="C182" s="88"/>
      <c r="D182" s="88"/>
      <c r="E182" s="82">
        <f t="shared" si="22"/>
        <v>0</v>
      </c>
      <c r="F182" s="75">
        <f t="shared" si="23"/>
        <v>0.99998842592592585</v>
      </c>
      <c r="G182" s="76" t="str">
        <f t="shared" si="24"/>
        <v xml:space="preserve">
</v>
      </c>
    </row>
    <row r="183" spans="1:7" s="56" customFormat="1" ht="18" customHeight="1">
      <c r="A183" s="86">
        <f t="shared" si="25"/>
        <v>43275</v>
      </c>
      <c r="B183" s="87" t="s">
        <v>41</v>
      </c>
      <c r="C183" s="88"/>
      <c r="D183" s="88"/>
      <c r="E183" s="82">
        <f t="shared" si="22"/>
        <v>0</v>
      </c>
      <c r="F183" s="75">
        <f t="shared" si="23"/>
        <v>0.99998842592592585</v>
      </c>
      <c r="G183" s="76" t="str">
        <f t="shared" si="24"/>
        <v xml:space="preserve">
</v>
      </c>
    </row>
    <row r="184" spans="1:7" s="56" customFormat="1" ht="18" customHeight="1">
      <c r="A184" s="86">
        <f t="shared" si="25"/>
        <v>43276</v>
      </c>
      <c r="B184" s="87" t="s">
        <v>41</v>
      </c>
      <c r="C184" s="88"/>
      <c r="D184" s="88"/>
      <c r="E184" s="82">
        <f t="shared" si="22"/>
        <v>0</v>
      </c>
      <c r="F184" s="75">
        <f t="shared" si="23"/>
        <v>0.99998842592592585</v>
      </c>
      <c r="G184" s="76" t="str">
        <f t="shared" si="24"/>
        <v xml:space="preserve">
</v>
      </c>
    </row>
    <row r="185" spans="1:7" s="56" customFormat="1" ht="18" customHeight="1">
      <c r="A185" s="86">
        <f t="shared" si="25"/>
        <v>43277</v>
      </c>
      <c r="B185" s="87" t="s">
        <v>41</v>
      </c>
      <c r="C185" s="88"/>
      <c r="D185" s="88"/>
      <c r="E185" s="82">
        <f t="shared" si="22"/>
        <v>0</v>
      </c>
      <c r="F185" s="75">
        <f t="shared" si="23"/>
        <v>0.99998842592592585</v>
      </c>
      <c r="G185" s="76" t="str">
        <f t="shared" si="24"/>
        <v xml:space="preserve">
</v>
      </c>
    </row>
    <row r="186" spans="1:7" s="56" customFormat="1" ht="18" customHeight="1">
      <c r="A186" s="86">
        <f t="shared" si="25"/>
        <v>43278</v>
      </c>
      <c r="B186" s="87" t="s">
        <v>41</v>
      </c>
      <c r="C186" s="88"/>
      <c r="D186" s="88"/>
      <c r="E186" s="82">
        <f t="shared" si="22"/>
        <v>0</v>
      </c>
      <c r="F186" s="75">
        <f t="shared" si="23"/>
        <v>0.99998842592592585</v>
      </c>
      <c r="G186" s="76" t="str">
        <f t="shared" si="24"/>
        <v xml:space="preserve">
</v>
      </c>
    </row>
    <row r="187" spans="1:7" s="56" customFormat="1" ht="18" customHeight="1">
      <c r="A187" s="86">
        <f t="shared" si="25"/>
        <v>43279</v>
      </c>
      <c r="B187" s="87" t="s">
        <v>41</v>
      </c>
      <c r="C187" s="88"/>
      <c r="D187" s="88"/>
      <c r="E187" s="82">
        <f t="shared" si="22"/>
        <v>0</v>
      </c>
      <c r="F187" s="75">
        <f t="shared" si="23"/>
        <v>0.99998842592592585</v>
      </c>
      <c r="G187" s="76" t="str">
        <f t="shared" si="24"/>
        <v xml:space="preserve">
</v>
      </c>
    </row>
    <row r="188" spans="1:7" s="56" customFormat="1" ht="18" customHeight="1">
      <c r="A188" s="86">
        <f t="shared" si="25"/>
        <v>43280</v>
      </c>
      <c r="B188" s="87" t="s">
        <v>41</v>
      </c>
      <c r="C188" s="88"/>
      <c r="D188" s="88"/>
      <c r="E188" s="82">
        <f t="shared" si="22"/>
        <v>0</v>
      </c>
      <c r="F188" s="75">
        <f t="shared" si="23"/>
        <v>0.99998842592592585</v>
      </c>
      <c r="G188" s="76" t="str">
        <f t="shared" si="24"/>
        <v xml:space="preserve">
</v>
      </c>
    </row>
    <row r="189" spans="1:7" s="56" customFormat="1" ht="18" customHeight="1">
      <c r="A189" s="86">
        <f t="shared" si="25"/>
        <v>43281</v>
      </c>
      <c r="B189" s="87" t="s">
        <v>41</v>
      </c>
      <c r="C189" s="88"/>
      <c r="D189" s="88"/>
      <c r="E189" s="82">
        <f t="shared" si="22"/>
        <v>0</v>
      </c>
      <c r="F189" s="75">
        <f t="shared" si="23"/>
        <v>0.99998842592592585</v>
      </c>
      <c r="G189" s="76" t="str">
        <f t="shared" si="24"/>
        <v xml:space="preserve">
</v>
      </c>
    </row>
    <row r="190" spans="1:7" s="56" customFormat="1" ht="18" customHeight="1">
      <c r="A190" s="130" t="s">
        <v>6</v>
      </c>
      <c r="B190" s="130"/>
      <c r="C190" s="130"/>
      <c r="D190" s="130"/>
      <c r="E190" s="131"/>
      <c r="F190" s="131"/>
      <c r="G190" s="132"/>
    </row>
    <row r="191" spans="1:7" s="56" customFormat="1" ht="18" customHeight="1">
      <c r="A191" s="86">
        <f>DATE(Konfiguration!$B$2,7,1)</f>
        <v>43282</v>
      </c>
      <c r="B191" s="87" t="s">
        <v>41</v>
      </c>
      <c r="C191" s="88"/>
      <c r="D191" s="88"/>
      <c r="E191" s="82">
        <f t="shared" ref="E191:E221" si="26">IF(C191="",TIME(0,0,0),C191)</f>
        <v>0</v>
      </c>
      <c r="F191" s="75">
        <f t="shared" ref="F191:F221" si="27">IF(D191="",TIME(23,59,59),D191)</f>
        <v>0.99998842592592585</v>
      </c>
      <c r="G191" s="76" t="str">
        <f t="shared" ref="G191:G221" si="28">IF(C191="","",TEXT(C191,"HH:MM"))&amp; LINE_BREAK  &amp; IF(D191="","",TEXT(D191,"HH:MM"))</f>
        <v xml:space="preserve">
</v>
      </c>
    </row>
    <row r="192" spans="1:7" s="56" customFormat="1" ht="18" customHeight="1">
      <c r="A192" s="86">
        <f t="shared" ref="A192:A221" si="29">A191+1</f>
        <v>43283</v>
      </c>
      <c r="B192" s="87" t="s">
        <v>41</v>
      </c>
      <c r="C192" s="88"/>
      <c r="D192" s="88"/>
      <c r="E192" s="82">
        <f t="shared" si="26"/>
        <v>0</v>
      </c>
      <c r="F192" s="75">
        <f t="shared" si="27"/>
        <v>0.99998842592592585</v>
      </c>
      <c r="G192" s="76" t="str">
        <f t="shared" si="28"/>
        <v xml:space="preserve">
</v>
      </c>
    </row>
    <row r="193" spans="1:7" s="56" customFormat="1" ht="18" customHeight="1">
      <c r="A193" s="86">
        <f t="shared" si="29"/>
        <v>43284</v>
      </c>
      <c r="B193" s="87" t="s">
        <v>41</v>
      </c>
      <c r="C193" s="88"/>
      <c r="D193" s="88"/>
      <c r="E193" s="82">
        <f t="shared" si="26"/>
        <v>0</v>
      </c>
      <c r="F193" s="75">
        <f t="shared" si="27"/>
        <v>0.99998842592592585</v>
      </c>
      <c r="G193" s="76" t="str">
        <f t="shared" si="28"/>
        <v xml:space="preserve">
</v>
      </c>
    </row>
    <row r="194" spans="1:7" s="56" customFormat="1" ht="18" customHeight="1">
      <c r="A194" s="86">
        <f t="shared" si="29"/>
        <v>43285</v>
      </c>
      <c r="B194" s="87" t="s">
        <v>41</v>
      </c>
      <c r="C194" s="88"/>
      <c r="D194" s="88"/>
      <c r="E194" s="82">
        <f t="shared" si="26"/>
        <v>0</v>
      </c>
      <c r="F194" s="75">
        <f t="shared" si="27"/>
        <v>0.99998842592592585</v>
      </c>
      <c r="G194" s="76" t="str">
        <f t="shared" si="28"/>
        <v xml:space="preserve">
</v>
      </c>
    </row>
    <row r="195" spans="1:7" s="56" customFormat="1" ht="18" customHeight="1">
      <c r="A195" s="86">
        <f t="shared" si="29"/>
        <v>43286</v>
      </c>
      <c r="B195" s="87" t="s">
        <v>41</v>
      </c>
      <c r="C195" s="88"/>
      <c r="D195" s="88"/>
      <c r="E195" s="82">
        <f t="shared" si="26"/>
        <v>0</v>
      </c>
      <c r="F195" s="75">
        <f t="shared" si="27"/>
        <v>0.99998842592592585</v>
      </c>
      <c r="G195" s="76" t="str">
        <f t="shared" si="28"/>
        <v xml:space="preserve">
</v>
      </c>
    </row>
    <row r="196" spans="1:7" s="56" customFormat="1" ht="18" customHeight="1">
      <c r="A196" s="86">
        <f t="shared" si="29"/>
        <v>43287</v>
      </c>
      <c r="B196" s="87" t="s">
        <v>41</v>
      </c>
      <c r="C196" s="88"/>
      <c r="D196" s="88"/>
      <c r="E196" s="82">
        <f t="shared" si="26"/>
        <v>0</v>
      </c>
      <c r="F196" s="75">
        <f t="shared" si="27"/>
        <v>0.99998842592592585</v>
      </c>
      <c r="G196" s="76" t="str">
        <f t="shared" si="28"/>
        <v xml:space="preserve">
</v>
      </c>
    </row>
    <row r="197" spans="1:7" s="56" customFormat="1" ht="18" customHeight="1">
      <c r="A197" s="86">
        <f t="shared" si="29"/>
        <v>43288</v>
      </c>
      <c r="B197" s="87" t="s">
        <v>41</v>
      </c>
      <c r="C197" s="88"/>
      <c r="D197" s="88"/>
      <c r="E197" s="82">
        <f t="shared" si="26"/>
        <v>0</v>
      </c>
      <c r="F197" s="75">
        <f t="shared" si="27"/>
        <v>0.99998842592592585</v>
      </c>
      <c r="G197" s="76" t="str">
        <f t="shared" si="28"/>
        <v xml:space="preserve">
</v>
      </c>
    </row>
    <row r="198" spans="1:7" s="56" customFormat="1" ht="18" customHeight="1">
      <c r="A198" s="86">
        <f t="shared" si="29"/>
        <v>43289</v>
      </c>
      <c r="B198" s="87" t="s">
        <v>41</v>
      </c>
      <c r="C198" s="88"/>
      <c r="D198" s="88"/>
      <c r="E198" s="82">
        <f t="shared" si="26"/>
        <v>0</v>
      </c>
      <c r="F198" s="75">
        <f t="shared" si="27"/>
        <v>0.99998842592592585</v>
      </c>
      <c r="G198" s="76" t="str">
        <f t="shared" si="28"/>
        <v xml:space="preserve">
</v>
      </c>
    </row>
    <row r="199" spans="1:7" s="56" customFormat="1" ht="18" customHeight="1">
      <c r="A199" s="86">
        <f t="shared" si="29"/>
        <v>43290</v>
      </c>
      <c r="B199" s="87" t="s">
        <v>41</v>
      </c>
      <c r="C199" s="88"/>
      <c r="D199" s="88"/>
      <c r="E199" s="82">
        <f t="shared" si="26"/>
        <v>0</v>
      </c>
      <c r="F199" s="75">
        <f t="shared" si="27"/>
        <v>0.99998842592592585</v>
      </c>
      <c r="G199" s="76" t="str">
        <f t="shared" si="28"/>
        <v xml:space="preserve">
</v>
      </c>
    </row>
    <row r="200" spans="1:7" s="56" customFormat="1" ht="18" customHeight="1">
      <c r="A200" s="86">
        <f t="shared" si="29"/>
        <v>43291</v>
      </c>
      <c r="B200" s="87" t="s">
        <v>41</v>
      </c>
      <c r="C200" s="88"/>
      <c r="D200" s="88"/>
      <c r="E200" s="82">
        <f t="shared" si="26"/>
        <v>0</v>
      </c>
      <c r="F200" s="75">
        <f t="shared" si="27"/>
        <v>0.99998842592592585</v>
      </c>
      <c r="G200" s="76" t="str">
        <f t="shared" si="28"/>
        <v xml:space="preserve">
</v>
      </c>
    </row>
    <row r="201" spans="1:7" s="56" customFormat="1" ht="18" customHeight="1">
      <c r="A201" s="86">
        <f t="shared" si="29"/>
        <v>43292</v>
      </c>
      <c r="B201" s="87" t="s">
        <v>41</v>
      </c>
      <c r="C201" s="88"/>
      <c r="D201" s="88"/>
      <c r="E201" s="82">
        <f t="shared" si="26"/>
        <v>0</v>
      </c>
      <c r="F201" s="75">
        <f t="shared" si="27"/>
        <v>0.99998842592592585</v>
      </c>
      <c r="G201" s="76" t="str">
        <f t="shared" si="28"/>
        <v xml:space="preserve">
</v>
      </c>
    </row>
    <row r="202" spans="1:7" s="56" customFormat="1" ht="18" customHeight="1">
      <c r="A202" s="86">
        <f t="shared" si="29"/>
        <v>43293</v>
      </c>
      <c r="B202" s="87" t="s">
        <v>41</v>
      </c>
      <c r="C202" s="88"/>
      <c r="D202" s="88"/>
      <c r="E202" s="82">
        <f t="shared" si="26"/>
        <v>0</v>
      </c>
      <c r="F202" s="75">
        <f t="shared" si="27"/>
        <v>0.99998842592592585</v>
      </c>
      <c r="G202" s="76" t="str">
        <f t="shared" si="28"/>
        <v xml:space="preserve">
</v>
      </c>
    </row>
    <row r="203" spans="1:7" s="56" customFormat="1" ht="18" customHeight="1">
      <c r="A203" s="86">
        <f t="shared" si="29"/>
        <v>43294</v>
      </c>
      <c r="B203" s="87" t="s">
        <v>41</v>
      </c>
      <c r="C203" s="88"/>
      <c r="D203" s="88"/>
      <c r="E203" s="82">
        <f t="shared" si="26"/>
        <v>0</v>
      </c>
      <c r="F203" s="75">
        <f t="shared" si="27"/>
        <v>0.99998842592592585</v>
      </c>
      <c r="G203" s="76" t="str">
        <f t="shared" si="28"/>
        <v xml:space="preserve">
</v>
      </c>
    </row>
    <row r="204" spans="1:7" s="56" customFormat="1" ht="18" customHeight="1">
      <c r="A204" s="86">
        <f t="shared" si="29"/>
        <v>43295</v>
      </c>
      <c r="B204" s="87" t="s">
        <v>41</v>
      </c>
      <c r="C204" s="88"/>
      <c r="D204" s="88"/>
      <c r="E204" s="82">
        <f t="shared" si="26"/>
        <v>0</v>
      </c>
      <c r="F204" s="75">
        <f t="shared" si="27"/>
        <v>0.99998842592592585</v>
      </c>
      <c r="G204" s="76" t="str">
        <f t="shared" si="28"/>
        <v xml:space="preserve">
</v>
      </c>
    </row>
    <row r="205" spans="1:7" s="56" customFormat="1" ht="18" customHeight="1">
      <c r="A205" s="86">
        <f t="shared" si="29"/>
        <v>43296</v>
      </c>
      <c r="B205" s="87" t="s">
        <v>41</v>
      </c>
      <c r="C205" s="88"/>
      <c r="D205" s="88"/>
      <c r="E205" s="82">
        <f t="shared" si="26"/>
        <v>0</v>
      </c>
      <c r="F205" s="75">
        <f t="shared" si="27"/>
        <v>0.99998842592592585</v>
      </c>
      <c r="G205" s="76" t="str">
        <f t="shared" si="28"/>
        <v xml:space="preserve">
</v>
      </c>
    </row>
    <row r="206" spans="1:7" s="56" customFormat="1" ht="18" customHeight="1">
      <c r="A206" s="86">
        <f t="shared" si="29"/>
        <v>43297</v>
      </c>
      <c r="B206" s="87" t="s">
        <v>41</v>
      </c>
      <c r="C206" s="88"/>
      <c r="D206" s="88"/>
      <c r="E206" s="82">
        <f t="shared" si="26"/>
        <v>0</v>
      </c>
      <c r="F206" s="75">
        <f t="shared" si="27"/>
        <v>0.99998842592592585</v>
      </c>
      <c r="G206" s="76" t="str">
        <f t="shared" si="28"/>
        <v xml:space="preserve">
</v>
      </c>
    </row>
    <row r="207" spans="1:7" s="56" customFormat="1" ht="18" customHeight="1">
      <c r="A207" s="86">
        <f t="shared" si="29"/>
        <v>43298</v>
      </c>
      <c r="B207" s="87" t="s">
        <v>41</v>
      </c>
      <c r="C207" s="88"/>
      <c r="D207" s="88"/>
      <c r="E207" s="82">
        <f t="shared" si="26"/>
        <v>0</v>
      </c>
      <c r="F207" s="75">
        <f t="shared" si="27"/>
        <v>0.99998842592592585</v>
      </c>
      <c r="G207" s="76" t="str">
        <f t="shared" si="28"/>
        <v xml:space="preserve">
</v>
      </c>
    </row>
    <row r="208" spans="1:7" s="56" customFormat="1" ht="18" customHeight="1">
      <c r="A208" s="86">
        <f t="shared" si="29"/>
        <v>43299</v>
      </c>
      <c r="B208" s="87" t="s">
        <v>41</v>
      </c>
      <c r="C208" s="88"/>
      <c r="D208" s="88"/>
      <c r="E208" s="82">
        <f t="shared" si="26"/>
        <v>0</v>
      </c>
      <c r="F208" s="75">
        <f t="shared" si="27"/>
        <v>0.99998842592592585</v>
      </c>
      <c r="G208" s="76" t="str">
        <f t="shared" si="28"/>
        <v xml:space="preserve">
</v>
      </c>
    </row>
    <row r="209" spans="1:7" s="56" customFormat="1" ht="18" customHeight="1">
      <c r="A209" s="86">
        <f t="shared" si="29"/>
        <v>43300</v>
      </c>
      <c r="B209" s="87" t="s">
        <v>41</v>
      </c>
      <c r="C209" s="88"/>
      <c r="D209" s="88"/>
      <c r="E209" s="82">
        <f t="shared" si="26"/>
        <v>0</v>
      </c>
      <c r="F209" s="75">
        <f t="shared" si="27"/>
        <v>0.99998842592592585</v>
      </c>
      <c r="G209" s="76" t="str">
        <f t="shared" si="28"/>
        <v xml:space="preserve">
</v>
      </c>
    </row>
    <row r="210" spans="1:7" s="56" customFormat="1" ht="18" customHeight="1">
      <c r="A210" s="86">
        <f t="shared" si="29"/>
        <v>43301</v>
      </c>
      <c r="B210" s="87" t="s">
        <v>41</v>
      </c>
      <c r="C210" s="88"/>
      <c r="D210" s="88"/>
      <c r="E210" s="82">
        <f t="shared" si="26"/>
        <v>0</v>
      </c>
      <c r="F210" s="75">
        <f t="shared" si="27"/>
        <v>0.99998842592592585</v>
      </c>
      <c r="G210" s="76" t="str">
        <f t="shared" si="28"/>
        <v xml:space="preserve">
</v>
      </c>
    </row>
    <row r="211" spans="1:7" s="56" customFormat="1" ht="18" customHeight="1">
      <c r="A211" s="86">
        <f t="shared" si="29"/>
        <v>43302</v>
      </c>
      <c r="B211" s="87" t="s">
        <v>41</v>
      </c>
      <c r="C211" s="88"/>
      <c r="D211" s="88"/>
      <c r="E211" s="82">
        <f t="shared" si="26"/>
        <v>0</v>
      </c>
      <c r="F211" s="75">
        <f t="shared" si="27"/>
        <v>0.99998842592592585</v>
      </c>
      <c r="G211" s="76" t="str">
        <f t="shared" si="28"/>
        <v xml:space="preserve">
</v>
      </c>
    </row>
    <row r="212" spans="1:7" s="56" customFormat="1" ht="18" customHeight="1">
      <c r="A212" s="86">
        <f t="shared" si="29"/>
        <v>43303</v>
      </c>
      <c r="B212" s="87" t="s">
        <v>41</v>
      </c>
      <c r="C212" s="88"/>
      <c r="D212" s="88"/>
      <c r="E212" s="82">
        <f t="shared" si="26"/>
        <v>0</v>
      </c>
      <c r="F212" s="75">
        <f t="shared" si="27"/>
        <v>0.99998842592592585</v>
      </c>
      <c r="G212" s="76" t="str">
        <f t="shared" si="28"/>
        <v xml:space="preserve">
</v>
      </c>
    </row>
    <row r="213" spans="1:7" s="56" customFormat="1" ht="18" customHeight="1">
      <c r="A213" s="86">
        <f t="shared" si="29"/>
        <v>43304</v>
      </c>
      <c r="B213" s="87" t="s">
        <v>41</v>
      </c>
      <c r="C213" s="88"/>
      <c r="D213" s="88"/>
      <c r="E213" s="82">
        <f t="shared" si="26"/>
        <v>0</v>
      </c>
      <c r="F213" s="75">
        <f t="shared" si="27"/>
        <v>0.99998842592592585</v>
      </c>
      <c r="G213" s="76" t="str">
        <f t="shared" si="28"/>
        <v xml:space="preserve">
</v>
      </c>
    </row>
    <row r="214" spans="1:7" s="56" customFormat="1" ht="18" customHeight="1">
      <c r="A214" s="86">
        <f t="shared" si="29"/>
        <v>43305</v>
      </c>
      <c r="B214" s="87" t="s">
        <v>41</v>
      </c>
      <c r="C214" s="88"/>
      <c r="D214" s="88"/>
      <c r="E214" s="82">
        <f t="shared" si="26"/>
        <v>0</v>
      </c>
      <c r="F214" s="75">
        <f t="shared" si="27"/>
        <v>0.99998842592592585</v>
      </c>
      <c r="G214" s="76" t="str">
        <f t="shared" si="28"/>
        <v xml:space="preserve">
</v>
      </c>
    </row>
    <row r="215" spans="1:7" s="56" customFormat="1" ht="18" customHeight="1">
      <c r="A215" s="86">
        <f t="shared" si="29"/>
        <v>43306</v>
      </c>
      <c r="B215" s="87" t="s">
        <v>41</v>
      </c>
      <c r="C215" s="88"/>
      <c r="D215" s="88"/>
      <c r="E215" s="82">
        <f t="shared" si="26"/>
        <v>0</v>
      </c>
      <c r="F215" s="75">
        <f t="shared" si="27"/>
        <v>0.99998842592592585</v>
      </c>
      <c r="G215" s="76" t="str">
        <f t="shared" si="28"/>
        <v xml:space="preserve">
</v>
      </c>
    </row>
    <row r="216" spans="1:7" s="56" customFormat="1" ht="18" customHeight="1">
      <c r="A216" s="86">
        <f t="shared" si="29"/>
        <v>43307</v>
      </c>
      <c r="B216" s="87" t="s">
        <v>41</v>
      </c>
      <c r="C216" s="88"/>
      <c r="D216" s="88"/>
      <c r="E216" s="82">
        <f t="shared" si="26"/>
        <v>0</v>
      </c>
      <c r="F216" s="75">
        <f t="shared" si="27"/>
        <v>0.99998842592592585</v>
      </c>
      <c r="G216" s="76" t="str">
        <f t="shared" si="28"/>
        <v xml:space="preserve">
</v>
      </c>
    </row>
    <row r="217" spans="1:7" s="56" customFormat="1" ht="18" customHeight="1">
      <c r="A217" s="86">
        <f t="shared" si="29"/>
        <v>43308</v>
      </c>
      <c r="B217" s="87" t="s">
        <v>41</v>
      </c>
      <c r="C217" s="88"/>
      <c r="D217" s="88"/>
      <c r="E217" s="82">
        <f t="shared" si="26"/>
        <v>0</v>
      </c>
      <c r="F217" s="75">
        <f t="shared" si="27"/>
        <v>0.99998842592592585</v>
      </c>
      <c r="G217" s="76" t="str">
        <f t="shared" si="28"/>
        <v xml:space="preserve">
</v>
      </c>
    </row>
    <row r="218" spans="1:7" s="56" customFormat="1" ht="18" customHeight="1">
      <c r="A218" s="86">
        <f t="shared" si="29"/>
        <v>43309</v>
      </c>
      <c r="B218" s="87" t="s">
        <v>41</v>
      </c>
      <c r="C218" s="88"/>
      <c r="D218" s="88"/>
      <c r="E218" s="82">
        <f t="shared" si="26"/>
        <v>0</v>
      </c>
      <c r="F218" s="75">
        <f t="shared" si="27"/>
        <v>0.99998842592592585</v>
      </c>
      <c r="G218" s="76" t="str">
        <f t="shared" si="28"/>
        <v xml:space="preserve">
</v>
      </c>
    </row>
    <row r="219" spans="1:7" s="56" customFormat="1" ht="18" customHeight="1">
      <c r="A219" s="86">
        <f t="shared" si="29"/>
        <v>43310</v>
      </c>
      <c r="B219" s="87" t="s">
        <v>41</v>
      </c>
      <c r="C219" s="88"/>
      <c r="D219" s="88"/>
      <c r="E219" s="82">
        <f t="shared" si="26"/>
        <v>0</v>
      </c>
      <c r="F219" s="75">
        <f t="shared" si="27"/>
        <v>0.99998842592592585</v>
      </c>
      <c r="G219" s="76" t="str">
        <f t="shared" si="28"/>
        <v xml:space="preserve">
</v>
      </c>
    </row>
    <row r="220" spans="1:7" s="56" customFormat="1" ht="18" customHeight="1">
      <c r="A220" s="86">
        <f t="shared" si="29"/>
        <v>43311</v>
      </c>
      <c r="B220" s="87" t="s">
        <v>41</v>
      </c>
      <c r="C220" s="88"/>
      <c r="D220" s="88"/>
      <c r="E220" s="82">
        <f t="shared" si="26"/>
        <v>0</v>
      </c>
      <c r="F220" s="75">
        <f t="shared" si="27"/>
        <v>0.99998842592592585</v>
      </c>
      <c r="G220" s="76" t="str">
        <f t="shared" si="28"/>
        <v xml:space="preserve">
</v>
      </c>
    </row>
    <row r="221" spans="1:7" s="56" customFormat="1" ht="18" customHeight="1">
      <c r="A221" s="86">
        <f t="shared" si="29"/>
        <v>43312</v>
      </c>
      <c r="B221" s="87" t="s">
        <v>41</v>
      </c>
      <c r="C221" s="88"/>
      <c r="D221" s="88"/>
      <c r="E221" s="82">
        <f t="shared" si="26"/>
        <v>0</v>
      </c>
      <c r="F221" s="75">
        <f t="shared" si="27"/>
        <v>0.99998842592592585</v>
      </c>
      <c r="G221" s="76" t="str">
        <f t="shared" si="28"/>
        <v xml:space="preserve">
</v>
      </c>
    </row>
    <row r="222" spans="1:7" s="56" customFormat="1" ht="18" customHeight="1">
      <c r="A222" s="130" t="s">
        <v>7</v>
      </c>
      <c r="B222" s="130"/>
      <c r="C222" s="130"/>
      <c r="D222" s="130"/>
      <c r="E222" s="131"/>
      <c r="F222" s="131"/>
      <c r="G222" s="132"/>
    </row>
    <row r="223" spans="1:7" s="56" customFormat="1" ht="18" customHeight="1">
      <c r="A223" s="86">
        <f>DATE(Konfiguration!$B$2,8,1)</f>
        <v>43313</v>
      </c>
      <c r="B223" s="87" t="s">
        <v>41</v>
      </c>
      <c r="C223" s="88"/>
      <c r="D223" s="88"/>
      <c r="E223" s="82">
        <f t="shared" ref="E223:E253" si="30">IF(C223="",TIME(0,0,0),C223)</f>
        <v>0</v>
      </c>
      <c r="F223" s="75">
        <f t="shared" ref="F223:F253" si="31">IF(D223="",TIME(23,59,59),D223)</f>
        <v>0.99998842592592585</v>
      </c>
      <c r="G223" s="76" t="str">
        <f t="shared" ref="G223:G253" si="32">IF(C223="","",TEXT(C223,"HH:MM"))&amp; LINE_BREAK  &amp; IF(D223="","",TEXT(D223,"HH:MM"))</f>
        <v xml:space="preserve">
</v>
      </c>
    </row>
    <row r="224" spans="1:7" s="56" customFormat="1" ht="18" customHeight="1">
      <c r="A224" s="86">
        <f t="shared" ref="A224:A253" si="33">A223+1</f>
        <v>43314</v>
      </c>
      <c r="B224" s="87" t="s">
        <v>41</v>
      </c>
      <c r="C224" s="88"/>
      <c r="D224" s="88"/>
      <c r="E224" s="82">
        <f t="shared" si="30"/>
        <v>0</v>
      </c>
      <c r="F224" s="75">
        <f t="shared" si="31"/>
        <v>0.99998842592592585</v>
      </c>
      <c r="G224" s="76" t="str">
        <f t="shared" si="32"/>
        <v xml:space="preserve">
</v>
      </c>
    </row>
    <row r="225" spans="1:7" s="56" customFormat="1" ht="18" customHeight="1">
      <c r="A225" s="86">
        <f t="shared" si="33"/>
        <v>43315</v>
      </c>
      <c r="B225" s="87" t="s">
        <v>41</v>
      </c>
      <c r="C225" s="88"/>
      <c r="D225" s="88"/>
      <c r="E225" s="82">
        <f t="shared" si="30"/>
        <v>0</v>
      </c>
      <c r="F225" s="75">
        <f t="shared" si="31"/>
        <v>0.99998842592592585</v>
      </c>
      <c r="G225" s="76" t="str">
        <f t="shared" si="32"/>
        <v xml:space="preserve">
</v>
      </c>
    </row>
    <row r="226" spans="1:7" s="56" customFormat="1" ht="18" customHeight="1">
      <c r="A226" s="86">
        <f t="shared" si="33"/>
        <v>43316</v>
      </c>
      <c r="B226" s="87" t="s">
        <v>41</v>
      </c>
      <c r="C226" s="88"/>
      <c r="D226" s="88"/>
      <c r="E226" s="82">
        <f t="shared" si="30"/>
        <v>0</v>
      </c>
      <c r="F226" s="75">
        <f t="shared" si="31"/>
        <v>0.99998842592592585</v>
      </c>
      <c r="G226" s="76" t="str">
        <f t="shared" si="32"/>
        <v xml:space="preserve">
</v>
      </c>
    </row>
    <row r="227" spans="1:7" s="56" customFormat="1" ht="18" customHeight="1">
      <c r="A227" s="86">
        <f t="shared" si="33"/>
        <v>43317</v>
      </c>
      <c r="B227" s="87" t="s">
        <v>41</v>
      </c>
      <c r="C227" s="88"/>
      <c r="D227" s="88"/>
      <c r="E227" s="82">
        <f t="shared" si="30"/>
        <v>0</v>
      </c>
      <c r="F227" s="75">
        <f t="shared" si="31"/>
        <v>0.99998842592592585</v>
      </c>
      <c r="G227" s="76" t="str">
        <f t="shared" si="32"/>
        <v xml:space="preserve">
</v>
      </c>
    </row>
    <row r="228" spans="1:7" s="56" customFormat="1" ht="18" customHeight="1">
      <c r="A228" s="86">
        <f t="shared" si="33"/>
        <v>43318</v>
      </c>
      <c r="B228" s="87" t="s">
        <v>41</v>
      </c>
      <c r="C228" s="88"/>
      <c r="D228" s="88"/>
      <c r="E228" s="82">
        <f t="shared" si="30"/>
        <v>0</v>
      </c>
      <c r="F228" s="75">
        <f t="shared" si="31"/>
        <v>0.99998842592592585</v>
      </c>
      <c r="G228" s="76" t="str">
        <f t="shared" si="32"/>
        <v xml:space="preserve">
</v>
      </c>
    </row>
    <row r="229" spans="1:7" s="56" customFormat="1" ht="18" customHeight="1">
      <c r="A229" s="86">
        <f t="shared" si="33"/>
        <v>43319</v>
      </c>
      <c r="B229" s="87" t="s">
        <v>41</v>
      </c>
      <c r="C229" s="88"/>
      <c r="D229" s="88"/>
      <c r="E229" s="82">
        <f t="shared" si="30"/>
        <v>0</v>
      </c>
      <c r="F229" s="75">
        <f t="shared" si="31"/>
        <v>0.99998842592592585</v>
      </c>
      <c r="G229" s="76" t="str">
        <f t="shared" si="32"/>
        <v xml:space="preserve">
</v>
      </c>
    </row>
    <row r="230" spans="1:7" s="56" customFormat="1" ht="18" customHeight="1">
      <c r="A230" s="86">
        <f t="shared" si="33"/>
        <v>43320</v>
      </c>
      <c r="B230" s="87" t="s">
        <v>41</v>
      </c>
      <c r="C230" s="88"/>
      <c r="D230" s="88"/>
      <c r="E230" s="82">
        <f t="shared" si="30"/>
        <v>0</v>
      </c>
      <c r="F230" s="75">
        <f t="shared" si="31"/>
        <v>0.99998842592592585</v>
      </c>
      <c r="G230" s="76" t="str">
        <f t="shared" si="32"/>
        <v xml:space="preserve">
</v>
      </c>
    </row>
    <row r="231" spans="1:7" s="56" customFormat="1" ht="18" customHeight="1">
      <c r="A231" s="86">
        <f t="shared" si="33"/>
        <v>43321</v>
      </c>
      <c r="B231" s="87" t="s">
        <v>41</v>
      </c>
      <c r="C231" s="88"/>
      <c r="D231" s="88"/>
      <c r="E231" s="82">
        <f t="shared" si="30"/>
        <v>0</v>
      </c>
      <c r="F231" s="75">
        <f t="shared" si="31"/>
        <v>0.99998842592592585</v>
      </c>
      <c r="G231" s="76" t="str">
        <f t="shared" si="32"/>
        <v xml:space="preserve">
</v>
      </c>
    </row>
    <row r="232" spans="1:7" s="56" customFormat="1" ht="18" customHeight="1">
      <c r="A232" s="86">
        <f t="shared" si="33"/>
        <v>43322</v>
      </c>
      <c r="B232" s="87" t="s">
        <v>41</v>
      </c>
      <c r="C232" s="88"/>
      <c r="D232" s="88"/>
      <c r="E232" s="82">
        <f t="shared" si="30"/>
        <v>0</v>
      </c>
      <c r="F232" s="75">
        <f t="shared" si="31"/>
        <v>0.99998842592592585</v>
      </c>
      <c r="G232" s="76" t="str">
        <f t="shared" si="32"/>
        <v xml:space="preserve">
</v>
      </c>
    </row>
    <row r="233" spans="1:7" s="56" customFormat="1" ht="18" customHeight="1">
      <c r="A233" s="86">
        <f t="shared" si="33"/>
        <v>43323</v>
      </c>
      <c r="B233" s="87" t="s">
        <v>41</v>
      </c>
      <c r="C233" s="88"/>
      <c r="D233" s="88"/>
      <c r="E233" s="82">
        <f t="shared" si="30"/>
        <v>0</v>
      </c>
      <c r="F233" s="75">
        <f t="shared" si="31"/>
        <v>0.99998842592592585</v>
      </c>
      <c r="G233" s="76" t="str">
        <f t="shared" si="32"/>
        <v xml:space="preserve">
</v>
      </c>
    </row>
    <row r="234" spans="1:7" s="56" customFormat="1" ht="18" customHeight="1">
      <c r="A234" s="86">
        <f t="shared" si="33"/>
        <v>43324</v>
      </c>
      <c r="B234" s="87" t="s">
        <v>41</v>
      </c>
      <c r="C234" s="88"/>
      <c r="D234" s="88"/>
      <c r="E234" s="82">
        <f t="shared" si="30"/>
        <v>0</v>
      </c>
      <c r="F234" s="75">
        <f t="shared" si="31"/>
        <v>0.99998842592592585</v>
      </c>
      <c r="G234" s="76" t="str">
        <f t="shared" si="32"/>
        <v xml:space="preserve">
</v>
      </c>
    </row>
    <row r="235" spans="1:7" s="56" customFormat="1" ht="18" customHeight="1">
      <c r="A235" s="86">
        <f t="shared" si="33"/>
        <v>43325</v>
      </c>
      <c r="B235" s="87" t="s">
        <v>41</v>
      </c>
      <c r="C235" s="88"/>
      <c r="D235" s="88"/>
      <c r="E235" s="82">
        <f t="shared" si="30"/>
        <v>0</v>
      </c>
      <c r="F235" s="75">
        <f t="shared" si="31"/>
        <v>0.99998842592592585</v>
      </c>
      <c r="G235" s="76" t="str">
        <f t="shared" si="32"/>
        <v xml:space="preserve">
</v>
      </c>
    </row>
    <row r="236" spans="1:7" s="56" customFormat="1" ht="18" customHeight="1">
      <c r="A236" s="86">
        <f t="shared" si="33"/>
        <v>43326</v>
      </c>
      <c r="B236" s="87" t="s">
        <v>41</v>
      </c>
      <c r="C236" s="88"/>
      <c r="D236" s="88"/>
      <c r="E236" s="82">
        <f t="shared" si="30"/>
        <v>0</v>
      </c>
      <c r="F236" s="75">
        <f t="shared" si="31"/>
        <v>0.99998842592592585</v>
      </c>
      <c r="G236" s="76" t="str">
        <f t="shared" si="32"/>
        <v xml:space="preserve">
</v>
      </c>
    </row>
    <row r="237" spans="1:7" s="56" customFormat="1" ht="18" customHeight="1">
      <c r="A237" s="86">
        <f t="shared" si="33"/>
        <v>43327</v>
      </c>
      <c r="B237" s="87" t="s">
        <v>41</v>
      </c>
      <c r="C237" s="88"/>
      <c r="D237" s="88"/>
      <c r="E237" s="82">
        <f t="shared" si="30"/>
        <v>0</v>
      </c>
      <c r="F237" s="75">
        <f t="shared" si="31"/>
        <v>0.99998842592592585</v>
      </c>
      <c r="G237" s="76" t="str">
        <f t="shared" si="32"/>
        <v xml:space="preserve">
</v>
      </c>
    </row>
    <row r="238" spans="1:7" s="56" customFormat="1" ht="18" customHeight="1">
      <c r="A238" s="86">
        <f t="shared" si="33"/>
        <v>43328</v>
      </c>
      <c r="B238" s="87" t="s">
        <v>41</v>
      </c>
      <c r="C238" s="88"/>
      <c r="D238" s="88"/>
      <c r="E238" s="82">
        <f t="shared" si="30"/>
        <v>0</v>
      </c>
      <c r="F238" s="75">
        <f t="shared" si="31"/>
        <v>0.99998842592592585</v>
      </c>
      <c r="G238" s="76" t="str">
        <f t="shared" si="32"/>
        <v xml:space="preserve">
</v>
      </c>
    </row>
    <row r="239" spans="1:7" s="56" customFormat="1" ht="18" customHeight="1">
      <c r="A239" s="86">
        <f t="shared" si="33"/>
        <v>43329</v>
      </c>
      <c r="B239" s="87" t="s">
        <v>41</v>
      </c>
      <c r="C239" s="88"/>
      <c r="D239" s="88"/>
      <c r="E239" s="82">
        <f t="shared" si="30"/>
        <v>0</v>
      </c>
      <c r="F239" s="75">
        <f t="shared" si="31"/>
        <v>0.99998842592592585</v>
      </c>
      <c r="G239" s="76" t="str">
        <f t="shared" si="32"/>
        <v xml:space="preserve">
</v>
      </c>
    </row>
    <row r="240" spans="1:7" s="56" customFormat="1" ht="18" customHeight="1">
      <c r="A240" s="86">
        <f t="shared" si="33"/>
        <v>43330</v>
      </c>
      <c r="B240" s="87" t="s">
        <v>41</v>
      </c>
      <c r="C240" s="88"/>
      <c r="D240" s="88"/>
      <c r="E240" s="82">
        <f t="shared" si="30"/>
        <v>0</v>
      </c>
      <c r="F240" s="75">
        <f t="shared" si="31"/>
        <v>0.99998842592592585</v>
      </c>
      <c r="G240" s="76" t="str">
        <f t="shared" si="32"/>
        <v xml:space="preserve">
</v>
      </c>
    </row>
    <row r="241" spans="1:7" s="56" customFormat="1" ht="18" customHeight="1">
      <c r="A241" s="86">
        <f t="shared" si="33"/>
        <v>43331</v>
      </c>
      <c r="B241" s="87" t="s">
        <v>41</v>
      </c>
      <c r="C241" s="88"/>
      <c r="D241" s="88"/>
      <c r="E241" s="82">
        <f t="shared" si="30"/>
        <v>0</v>
      </c>
      <c r="F241" s="75">
        <f t="shared" si="31"/>
        <v>0.99998842592592585</v>
      </c>
      <c r="G241" s="76" t="str">
        <f t="shared" si="32"/>
        <v xml:space="preserve">
</v>
      </c>
    </row>
    <row r="242" spans="1:7" s="56" customFormat="1" ht="18" customHeight="1">
      <c r="A242" s="86">
        <f t="shared" si="33"/>
        <v>43332</v>
      </c>
      <c r="B242" s="87" t="s">
        <v>41</v>
      </c>
      <c r="C242" s="88"/>
      <c r="D242" s="88"/>
      <c r="E242" s="82">
        <f t="shared" si="30"/>
        <v>0</v>
      </c>
      <c r="F242" s="75">
        <f t="shared" si="31"/>
        <v>0.99998842592592585</v>
      </c>
      <c r="G242" s="76" t="str">
        <f t="shared" si="32"/>
        <v xml:space="preserve">
</v>
      </c>
    </row>
    <row r="243" spans="1:7" s="56" customFormat="1" ht="18" customHeight="1">
      <c r="A243" s="86">
        <f t="shared" si="33"/>
        <v>43333</v>
      </c>
      <c r="B243" s="87" t="s">
        <v>41</v>
      </c>
      <c r="C243" s="88"/>
      <c r="D243" s="88"/>
      <c r="E243" s="82">
        <f t="shared" si="30"/>
        <v>0</v>
      </c>
      <c r="F243" s="75">
        <f t="shared" si="31"/>
        <v>0.99998842592592585</v>
      </c>
      <c r="G243" s="76" t="str">
        <f t="shared" si="32"/>
        <v xml:space="preserve">
</v>
      </c>
    </row>
    <row r="244" spans="1:7" s="56" customFormat="1" ht="18" customHeight="1">
      <c r="A244" s="86">
        <f t="shared" si="33"/>
        <v>43334</v>
      </c>
      <c r="B244" s="87" t="s">
        <v>41</v>
      </c>
      <c r="C244" s="88"/>
      <c r="D244" s="88"/>
      <c r="E244" s="82">
        <f t="shared" si="30"/>
        <v>0</v>
      </c>
      <c r="F244" s="75">
        <f t="shared" si="31"/>
        <v>0.99998842592592585</v>
      </c>
      <c r="G244" s="76" t="str">
        <f t="shared" si="32"/>
        <v xml:space="preserve">
</v>
      </c>
    </row>
    <row r="245" spans="1:7" s="56" customFormat="1" ht="18" customHeight="1">
      <c r="A245" s="86">
        <f t="shared" si="33"/>
        <v>43335</v>
      </c>
      <c r="B245" s="87" t="s">
        <v>41</v>
      </c>
      <c r="C245" s="88"/>
      <c r="D245" s="88"/>
      <c r="E245" s="82">
        <f t="shared" si="30"/>
        <v>0</v>
      </c>
      <c r="F245" s="75">
        <f t="shared" si="31"/>
        <v>0.99998842592592585</v>
      </c>
      <c r="G245" s="76" t="str">
        <f t="shared" si="32"/>
        <v xml:space="preserve">
</v>
      </c>
    </row>
    <row r="246" spans="1:7" s="56" customFormat="1" ht="18" customHeight="1">
      <c r="A246" s="86">
        <f t="shared" si="33"/>
        <v>43336</v>
      </c>
      <c r="B246" s="87" t="s">
        <v>41</v>
      </c>
      <c r="C246" s="88"/>
      <c r="D246" s="88"/>
      <c r="E246" s="82">
        <f t="shared" si="30"/>
        <v>0</v>
      </c>
      <c r="F246" s="75">
        <f t="shared" si="31"/>
        <v>0.99998842592592585</v>
      </c>
      <c r="G246" s="76" t="str">
        <f t="shared" si="32"/>
        <v xml:space="preserve">
</v>
      </c>
    </row>
    <row r="247" spans="1:7" s="56" customFormat="1" ht="18" customHeight="1">
      <c r="A247" s="86">
        <f t="shared" si="33"/>
        <v>43337</v>
      </c>
      <c r="B247" s="87" t="s">
        <v>41</v>
      </c>
      <c r="C247" s="88"/>
      <c r="D247" s="88"/>
      <c r="E247" s="82">
        <f t="shared" si="30"/>
        <v>0</v>
      </c>
      <c r="F247" s="75">
        <f t="shared" si="31"/>
        <v>0.99998842592592585</v>
      </c>
      <c r="G247" s="76" t="str">
        <f t="shared" si="32"/>
        <v xml:space="preserve">
</v>
      </c>
    </row>
    <row r="248" spans="1:7" s="56" customFormat="1" ht="18" customHeight="1">
      <c r="A248" s="86">
        <f t="shared" si="33"/>
        <v>43338</v>
      </c>
      <c r="B248" s="87" t="s">
        <v>41</v>
      </c>
      <c r="C248" s="88"/>
      <c r="D248" s="88"/>
      <c r="E248" s="82">
        <f t="shared" si="30"/>
        <v>0</v>
      </c>
      <c r="F248" s="75">
        <f t="shared" si="31"/>
        <v>0.99998842592592585</v>
      </c>
      <c r="G248" s="76" t="str">
        <f t="shared" si="32"/>
        <v xml:space="preserve">
</v>
      </c>
    </row>
    <row r="249" spans="1:7" s="56" customFormat="1" ht="18" customHeight="1">
      <c r="A249" s="86">
        <f t="shared" si="33"/>
        <v>43339</v>
      </c>
      <c r="B249" s="87" t="s">
        <v>41</v>
      </c>
      <c r="C249" s="88"/>
      <c r="D249" s="88"/>
      <c r="E249" s="82">
        <f t="shared" si="30"/>
        <v>0</v>
      </c>
      <c r="F249" s="75">
        <f t="shared" si="31"/>
        <v>0.99998842592592585</v>
      </c>
      <c r="G249" s="76" t="str">
        <f t="shared" si="32"/>
        <v xml:space="preserve">
</v>
      </c>
    </row>
    <row r="250" spans="1:7" s="56" customFormat="1" ht="18" customHeight="1">
      <c r="A250" s="86">
        <f t="shared" si="33"/>
        <v>43340</v>
      </c>
      <c r="B250" s="87" t="s">
        <v>41</v>
      </c>
      <c r="C250" s="88"/>
      <c r="D250" s="88"/>
      <c r="E250" s="82">
        <f t="shared" si="30"/>
        <v>0</v>
      </c>
      <c r="F250" s="75">
        <f t="shared" si="31"/>
        <v>0.99998842592592585</v>
      </c>
      <c r="G250" s="76" t="str">
        <f t="shared" si="32"/>
        <v xml:space="preserve">
</v>
      </c>
    </row>
    <row r="251" spans="1:7" s="56" customFormat="1" ht="18" customHeight="1">
      <c r="A251" s="86">
        <f t="shared" si="33"/>
        <v>43341</v>
      </c>
      <c r="B251" s="87" t="s">
        <v>41</v>
      </c>
      <c r="C251" s="88"/>
      <c r="D251" s="88"/>
      <c r="E251" s="82">
        <f t="shared" si="30"/>
        <v>0</v>
      </c>
      <c r="F251" s="75">
        <f t="shared" si="31"/>
        <v>0.99998842592592585</v>
      </c>
      <c r="G251" s="76" t="str">
        <f t="shared" si="32"/>
        <v xml:space="preserve">
</v>
      </c>
    </row>
    <row r="252" spans="1:7" s="56" customFormat="1" ht="18" customHeight="1">
      <c r="A252" s="86">
        <f t="shared" si="33"/>
        <v>43342</v>
      </c>
      <c r="B252" s="87" t="s">
        <v>41</v>
      </c>
      <c r="C252" s="88"/>
      <c r="D252" s="88"/>
      <c r="E252" s="82">
        <f t="shared" si="30"/>
        <v>0</v>
      </c>
      <c r="F252" s="75">
        <f t="shared" si="31"/>
        <v>0.99998842592592585</v>
      </c>
      <c r="G252" s="76" t="str">
        <f t="shared" si="32"/>
        <v xml:space="preserve">
</v>
      </c>
    </row>
    <row r="253" spans="1:7" s="56" customFormat="1" ht="18" customHeight="1">
      <c r="A253" s="86">
        <f t="shared" si="33"/>
        <v>43343</v>
      </c>
      <c r="B253" s="87" t="s">
        <v>41</v>
      </c>
      <c r="C253" s="88"/>
      <c r="D253" s="88"/>
      <c r="E253" s="82">
        <f t="shared" si="30"/>
        <v>0</v>
      </c>
      <c r="F253" s="75">
        <f t="shared" si="31"/>
        <v>0.99998842592592585</v>
      </c>
      <c r="G253" s="76" t="str">
        <f t="shared" si="32"/>
        <v xml:space="preserve">
</v>
      </c>
    </row>
    <row r="254" spans="1:7" s="56" customFormat="1" ht="18" customHeight="1">
      <c r="A254" s="130" t="s">
        <v>8</v>
      </c>
      <c r="B254" s="130"/>
      <c r="C254" s="130"/>
      <c r="D254" s="130"/>
      <c r="E254" s="131"/>
      <c r="F254" s="131"/>
      <c r="G254" s="132"/>
    </row>
    <row r="255" spans="1:7" s="56" customFormat="1" ht="18" customHeight="1">
      <c r="A255" s="86">
        <f>DATE(Konfiguration!$B$2,9,1)</f>
        <v>43344</v>
      </c>
      <c r="B255" s="87" t="s">
        <v>41</v>
      </c>
      <c r="C255" s="88"/>
      <c r="D255" s="88"/>
      <c r="E255" s="82">
        <f t="shared" ref="E255:E284" si="34">IF(C255="",TIME(0,0,0),C255)</f>
        <v>0</v>
      </c>
      <c r="F255" s="75">
        <f t="shared" ref="F255:F284" si="35">IF(D255="",TIME(23,59,59),D255)</f>
        <v>0.99998842592592585</v>
      </c>
      <c r="G255" s="76" t="str">
        <f t="shared" ref="G255:G284" si="36">IF(C255="","",TEXT(C255,"HH:MM"))&amp; LINE_BREAK  &amp; IF(D255="","",TEXT(D255,"HH:MM"))</f>
        <v xml:space="preserve">
</v>
      </c>
    </row>
    <row r="256" spans="1:7" s="56" customFormat="1" ht="18" customHeight="1">
      <c r="A256" s="86">
        <f t="shared" ref="A256:A284" si="37">A255+1</f>
        <v>43345</v>
      </c>
      <c r="B256" s="87" t="s">
        <v>41</v>
      </c>
      <c r="C256" s="88"/>
      <c r="D256" s="88"/>
      <c r="E256" s="82">
        <f t="shared" si="34"/>
        <v>0</v>
      </c>
      <c r="F256" s="75">
        <f t="shared" si="35"/>
        <v>0.99998842592592585</v>
      </c>
      <c r="G256" s="76" t="str">
        <f t="shared" si="36"/>
        <v xml:space="preserve">
</v>
      </c>
    </row>
    <row r="257" spans="1:7" s="56" customFormat="1" ht="18" customHeight="1">
      <c r="A257" s="86">
        <f t="shared" si="37"/>
        <v>43346</v>
      </c>
      <c r="B257" s="87" t="s">
        <v>41</v>
      </c>
      <c r="C257" s="88"/>
      <c r="D257" s="88"/>
      <c r="E257" s="82">
        <f t="shared" si="34"/>
        <v>0</v>
      </c>
      <c r="F257" s="75">
        <f t="shared" si="35"/>
        <v>0.99998842592592585</v>
      </c>
      <c r="G257" s="76" t="str">
        <f t="shared" si="36"/>
        <v xml:space="preserve">
</v>
      </c>
    </row>
    <row r="258" spans="1:7" s="56" customFormat="1" ht="18" customHeight="1">
      <c r="A258" s="86">
        <f t="shared" si="37"/>
        <v>43347</v>
      </c>
      <c r="B258" s="87" t="s">
        <v>41</v>
      </c>
      <c r="C258" s="88"/>
      <c r="D258" s="88"/>
      <c r="E258" s="82">
        <f t="shared" si="34"/>
        <v>0</v>
      </c>
      <c r="F258" s="75">
        <f t="shared" si="35"/>
        <v>0.99998842592592585</v>
      </c>
      <c r="G258" s="76" t="str">
        <f t="shared" si="36"/>
        <v xml:space="preserve">
</v>
      </c>
    </row>
    <row r="259" spans="1:7" s="56" customFormat="1" ht="18" customHeight="1">
      <c r="A259" s="86">
        <f t="shared" si="37"/>
        <v>43348</v>
      </c>
      <c r="B259" s="87" t="s">
        <v>41</v>
      </c>
      <c r="C259" s="88"/>
      <c r="D259" s="88"/>
      <c r="E259" s="82">
        <f t="shared" si="34"/>
        <v>0</v>
      </c>
      <c r="F259" s="75">
        <f t="shared" si="35"/>
        <v>0.99998842592592585</v>
      </c>
      <c r="G259" s="76" t="str">
        <f t="shared" si="36"/>
        <v xml:space="preserve">
</v>
      </c>
    </row>
    <row r="260" spans="1:7" s="56" customFormat="1" ht="18" customHeight="1">
      <c r="A260" s="86">
        <f t="shared" si="37"/>
        <v>43349</v>
      </c>
      <c r="B260" s="87" t="s">
        <v>41</v>
      </c>
      <c r="C260" s="88"/>
      <c r="D260" s="88"/>
      <c r="E260" s="82">
        <f t="shared" si="34"/>
        <v>0</v>
      </c>
      <c r="F260" s="75">
        <f t="shared" si="35"/>
        <v>0.99998842592592585</v>
      </c>
      <c r="G260" s="76" t="str">
        <f t="shared" si="36"/>
        <v xml:space="preserve">
</v>
      </c>
    </row>
    <row r="261" spans="1:7" s="56" customFormat="1" ht="18" customHeight="1">
      <c r="A261" s="86">
        <f t="shared" si="37"/>
        <v>43350</v>
      </c>
      <c r="B261" s="87" t="s">
        <v>41</v>
      </c>
      <c r="C261" s="88"/>
      <c r="D261" s="88"/>
      <c r="E261" s="82">
        <f t="shared" si="34"/>
        <v>0</v>
      </c>
      <c r="F261" s="75">
        <f t="shared" si="35"/>
        <v>0.99998842592592585</v>
      </c>
      <c r="G261" s="76" t="str">
        <f t="shared" si="36"/>
        <v xml:space="preserve">
</v>
      </c>
    </row>
    <row r="262" spans="1:7" s="56" customFormat="1" ht="18" customHeight="1">
      <c r="A262" s="86">
        <f t="shared" si="37"/>
        <v>43351</v>
      </c>
      <c r="B262" s="87" t="s">
        <v>41</v>
      </c>
      <c r="C262" s="88"/>
      <c r="D262" s="88"/>
      <c r="E262" s="82">
        <f t="shared" si="34"/>
        <v>0</v>
      </c>
      <c r="F262" s="75">
        <f t="shared" si="35"/>
        <v>0.99998842592592585</v>
      </c>
      <c r="G262" s="76" t="str">
        <f t="shared" si="36"/>
        <v xml:space="preserve">
</v>
      </c>
    </row>
    <row r="263" spans="1:7" s="56" customFormat="1" ht="18" customHeight="1">
      <c r="A263" s="86">
        <f t="shared" si="37"/>
        <v>43352</v>
      </c>
      <c r="B263" s="87" t="s">
        <v>41</v>
      </c>
      <c r="C263" s="88"/>
      <c r="D263" s="88"/>
      <c r="E263" s="82">
        <f t="shared" si="34"/>
        <v>0</v>
      </c>
      <c r="F263" s="75">
        <f t="shared" si="35"/>
        <v>0.99998842592592585</v>
      </c>
      <c r="G263" s="76" t="str">
        <f t="shared" si="36"/>
        <v xml:space="preserve">
</v>
      </c>
    </row>
    <row r="264" spans="1:7" s="56" customFormat="1" ht="18" customHeight="1">
      <c r="A264" s="86">
        <f t="shared" si="37"/>
        <v>43353</v>
      </c>
      <c r="B264" s="87" t="s">
        <v>41</v>
      </c>
      <c r="C264" s="88"/>
      <c r="D264" s="88"/>
      <c r="E264" s="82">
        <f t="shared" si="34"/>
        <v>0</v>
      </c>
      <c r="F264" s="75">
        <f t="shared" si="35"/>
        <v>0.99998842592592585</v>
      </c>
      <c r="G264" s="76" t="str">
        <f t="shared" si="36"/>
        <v xml:space="preserve">
</v>
      </c>
    </row>
    <row r="265" spans="1:7" s="56" customFormat="1" ht="18" customHeight="1">
      <c r="A265" s="86">
        <f t="shared" si="37"/>
        <v>43354</v>
      </c>
      <c r="B265" s="87" t="s">
        <v>41</v>
      </c>
      <c r="C265" s="88"/>
      <c r="D265" s="88"/>
      <c r="E265" s="82">
        <f t="shared" si="34"/>
        <v>0</v>
      </c>
      <c r="F265" s="75">
        <f t="shared" si="35"/>
        <v>0.99998842592592585</v>
      </c>
      <c r="G265" s="76" t="str">
        <f t="shared" si="36"/>
        <v xml:space="preserve">
</v>
      </c>
    </row>
    <row r="266" spans="1:7" s="56" customFormat="1" ht="18" customHeight="1">
      <c r="A266" s="86">
        <f t="shared" si="37"/>
        <v>43355</v>
      </c>
      <c r="B266" s="87" t="s">
        <v>41</v>
      </c>
      <c r="C266" s="88"/>
      <c r="D266" s="88"/>
      <c r="E266" s="82">
        <f t="shared" si="34"/>
        <v>0</v>
      </c>
      <c r="F266" s="75">
        <f t="shared" si="35"/>
        <v>0.99998842592592585</v>
      </c>
      <c r="G266" s="76" t="str">
        <f t="shared" si="36"/>
        <v xml:space="preserve">
</v>
      </c>
    </row>
    <row r="267" spans="1:7" s="56" customFormat="1" ht="18" customHeight="1">
      <c r="A267" s="86">
        <f t="shared" si="37"/>
        <v>43356</v>
      </c>
      <c r="B267" s="87" t="s">
        <v>41</v>
      </c>
      <c r="C267" s="88"/>
      <c r="D267" s="88"/>
      <c r="E267" s="82">
        <f t="shared" si="34"/>
        <v>0</v>
      </c>
      <c r="F267" s="75">
        <f t="shared" si="35"/>
        <v>0.99998842592592585</v>
      </c>
      <c r="G267" s="76" t="str">
        <f t="shared" si="36"/>
        <v xml:space="preserve">
</v>
      </c>
    </row>
    <row r="268" spans="1:7" s="56" customFormat="1" ht="18" customHeight="1">
      <c r="A268" s="86">
        <f t="shared" si="37"/>
        <v>43357</v>
      </c>
      <c r="B268" s="87" t="s">
        <v>41</v>
      </c>
      <c r="C268" s="88"/>
      <c r="D268" s="88"/>
      <c r="E268" s="82">
        <f t="shared" si="34"/>
        <v>0</v>
      </c>
      <c r="F268" s="75">
        <f t="shared" si="35"/>
        <v>0.99998842592592585</v>
      </c>
      <c r="G268" s="76" t="str">
        <f t="shared" si="36"/>
        <v xml:space="preserve">
</v>
      </c>
    </row>
    <row r="269" spans="1:7" s="56" customFormat="1" ht="18" customHeight="1">
      <c r="A269" s="86">
        <f t="shared" si="37"/>
        <v>43358</v>
      </c>
      <c r="B269" s="87" t="s">
        <v>41</v>
      </c>
      <c r="C269" s="88"/>
      <c r="D269" s="88"/>
      <c r="E269" s="82">
        <f t="shared" si="34"/>
        <v>0</v>
      </c>
      <c r="F269" s="75">
        <f t="shared" si="35"/>
        <v>0.99998842592592585</v>
      </c>
      <c r="G269" s="76" t="str">
        <f t="shared" si="36"/>
        <v xml:space="preserve">
</v>
      </c>
    </row>
    <row r="270" spans="1:7" s="56" customFormat="1" ht="18" customHeight="1">
      <c r="A270" s="86">
        <f t="shared" si="37"/>
        <v>43359</v>
      </c>
      <c r="B270" s="87" t="s">
        <v>41</v>
      </c>
      <c r="C270" s="88"/>
      <c r="D270" s="88"/>
      <c r="E270" s="82">
        <f t="shared" si="34"/>
        <v>0</v>
      </c>
      <c r="F270" s="75">
        <f t="shared" si="35"/>
        <v>0.99998842592592585</v>
      </c>
      <c r="G270" s="76" t="str">
        <f t="shared" si="36"/>
        <v xml:space="preserve">
</v>
      </c>
    </row>
    <row r="271" spans="1:7" s="56" customFormat="1" ht="18" customHeight="1">
      <c r="A271" s="86">
        <f t="shared" si="37"/>
        <v>43360</v>
      </c>
      <c r="B271" s="87" t="s">
        <v>41</v>
      </c>
      <c r="C271" s="88"/>
      <c r="D271" s="88"/>
      <c r="E271" s="82">
        <f t="shared" si="34"/>
        <v>0</v>
      </c>
      <c r="F271" s="75">
        <f t="shared" si="35"/>
        <v>0.99998842592592585</v>
      </c>
      <c r="G271" s="76" t="str">
        <f t="shared" si="36"/>
        <v xml:space="preserve">
</v>
      </c>
    </row>
    <row r="272" spans="1:7" s="56" customFormat="1" ht="18" customHeight="1">
      <c r="A272" s="86">
        <f t="shared" si="37"/>
        <v>43361</v>
      </c>
      <c r="B272" s="87" t="s">
        <v>41</v>
      </c>
      <c r="C272" s="88"/>
      <c r="D272" s="88"/>
      <c r="E272" s="82">
        <f t="shared" si="34"/>
        <v>0</v>
      </c>
      <c r="F272" s="75">
        <f t="shared" si="35"/>
        <v>0.99998842592592585</v>
      </c>
      <c r="G272" s="76" t="str">
        <f t="shared" si="36"/>
        <v xml:space="preserve">
</v>
      </c>
    </row>
    <row r="273" spans="1:7" s="56" customFormat="1" ht="18" customHeight="1">
      <c r="A273" s="86">
        <f t="shared" si="37"/>
        <v>43362</v>
      </c>
      <c r="B273" s="87" t="s">
        <v>41</v>
      </c>
      <c r="C273" s="88"/>
      <c r="D273" s="88"/>
      <c r="E273" s="82">
        <f t="shared" si="34"/>
        <v>0</v>
      </c>
      <c r="F273" s="75">
        <f t="shared" si="35"/>
        <v>0.99998842592592585</v>
      </c>
      <c r="G273" s="76" t="str">
        <f t="shared" si="36"/>
        <v xml:space="preserve">
</v>
      </c>
    </row>
    <row r="274" spans="1:7" s="56" customFormat="1" ht="18" customHeight="1">
      <c r="A274" s="86">
        <f t="shared" si="37"/>
        <v>43363</v>
      </c>
      <c r="B274" s="87" t="s">
        <v>41</v>
      </c>
      <c r="C274" s="88"/>
      <c r="D274" s="88"/>
      <c r="E274" s="82">
        <f t="shared" si="34"/>
        <v>0</v>
      </c>
      <c r="F274" s="75">
        <f t="shared" si="35"/>
        <v>0.99998842592592585</v>
      </c>
      <c r="G274" s="76" t="str">
        <f t="shared" si="36"/>
        <v xml:space="preserve">
</v>
      </c>
    </row>
    <row r="275" spans="1:7" s="56" customFormat="1" ht="18" customHeight="1">
      <c r="A275" s="86">
        <f t="shared" si="37"/>
        <v>43364</v>
      </c>
      <c r="B275" s="87" t="s">
        <v>41</v>
      </c>
      <c r="C275" s="88"/>
      <c r="D275" s="88"/>
      <c r="E275" s="82">
        <f t="shared" si="34"/>
        <v>0</v>
      </c>
      <c r="F275" s="75">
        <f t="shared" si="35"/>
        <v>0.99998842592592585</v>
      </c>
      <c r="G275" s="76" t="str">
        <f t="shared" si="36"/>
        <v xml:space="preserve">
</v>
      </c>
    </row>
    <row r="276" spans="1:7" s="56" customFormat="1" ht="18" customHeight="1">
      <c r="A276" s="86">
        <f t="shared" si="37"/>
        <v>43365</v>
      </c>
      <c r="B276" s="87" t="s">
        <v>41</v>
      </c>
      <c r="C276" s="88"/>
      <c r="D276" s="88"/>
      <c r="E276" s="82">
        <f t="shared" si="34"/>
        <v>0</v>
      </c>
      <c r="F276" s="75">
        <f t="shared" si="35"/>
        <v>0.99998842592592585</v>
      </c>
      <c r="G276" s="76" t="str">
        <f t="shared" si="36"/>
        <v xml:space="preserve">
</v>
      </c>
    </row>
    <row r="277" spans="1:7" s="56" customFormat="1" ht="18" customHeight="1">
      <c r="A277" s="86">
        <f t="shared" si="37"/>
        <v>43366</v>
      </c>
      <c r="B277" s="87" t="s">
        <v>41</v>
      </c>
      <c r="C277" s="88"/>
      <c r="D277" s="88"/>
      <c r="E277" s="82">
        <f t="shared" si="34"/>
        <v>0</v>
      </c>
      <c r="F277" s="75">
        <f t="shared" si="35"/>
        <v>0.99998842592592585</v>
      </c>
      <c r="G277" s="76" t="str">
        <f t="shared" si="36"/>
        <v xml:space="preserve">
</v>
      </c>
    </row>
    <row r="278" spans="1:7" s="56" customFormat="1" ht="18" customHeight="1">
      <c r="A278" s="86">
        <f t="shared" si="37"/>
        <v>43367</v>
      </c>
      <c r="B278" s="87" t="s">
        <v>41</v>
      </c>
      <c r="C278" s="88"/>
      <c r="D278" s="88"/>
      <c r="E278" s="82">
        <f t="shared" si="34"/>
        <v>0</v>
      </c>
      <c r="F278" s="75">
        <f t="shared" si="35"/>
        <v>0.99998842592592585</v>
      </c>
      <c r="G278" s="76" t="str">
        <f t="shared" si="36"/>
        <v xml:space="preserve">
</v>
      </c>
    </row>
    <row r="279" spans="1:7" s="56" customFormat="1" ht="18" customHeight="1">
      <c r="A279" s="86">
        <f t="shared" si="37"/>
        <v>43368</v>
      </c>
      <c r="B279" s="87" t="s">
        <v>41</v>
      </c>
      <c r="C279" s="88"/>
      <c r="D279" s="88"/>
      <c r="E279" s="82">
        <f t="shared" si="34"/>
        <v>0</v>
      </c>
      <c r="F279" s="75">
        <f t="shared" si="35"/>
        <v>0.99998842592592585</v>
      </c>
      <c r="G279" s="76" t="str">
        <f t="shared" si="36"/>
        <v xml:space="preserve">
</v>
      </c>
    </row>
    <row r="280" spans="1:7" s="56" customFormat="1" ht="18" customHeight="1">
      <c r="A280" s="86">
        <f t="shared" si="37"/>
        <v>43369</v>
      </c>
      <c r="B280" s="87" t="s">
        <v>41</v>
      </c>
      <c r="C280" s="88"/>
      <c r="D280" s="88"/>
      <c r="E280" s="82">
        <f t="shared" si="34"/>
        <v>0</v>
      </c>
      <c r="F280" s="75">
        <f t="shared" si="35"/>
        <v>0.99998842592592585</v>
      </c>
      <c r="G280" s="76" t="str">
        <f t="shared" si="36"/>
        <v xml:space="preserve">
</v>
      </c>
    </row>
    <row r="281" spans="1:7" s="56" customFormat="1" ht="18" customHeight="1">
      <c r="A281" s="86">
        <f t="shared" si="37"/>
        <v>43370</v>
      </c>
      <c r="B281" s="87" t="s">
        <v>41</v>
      </c>
      <c r="C281" s="88"/>
      <c r="D281" s="88"/>
      <c r="E281" s="82">
        <f t="shared" si="34"/>
        <v>0</v>
      </c>
      <c r="F281" s="75">
        <f t="shared" si="35"/>
        <v>0.99998842592592585</v>
      </c>
      <c r="G281" s="76" t="str">
        <f t="shared" si="36"/>
        <v xml:space="preserve">
</v>
      </c>
    </row>
    <row r="282" spans="1:7" s="56" customFormat="1" ht="18" customHeight="1">
      <c r="A282" s="86">
        <f t="shared" si="37"/>
        <v>43371</v>
      </c>
      <c r="B282" s="87" t="s">
        <v>41</v>
      </c>
      <c r="C282" s="88"/>
      <c r="D282" s="88"/>
      <c r="E282" s="82">
        <f t="shared" si="34"/>
        <v>0</v>
      </c>
      <c r="F282" s="75">
        <f t="shared" si="35"/>
        <v>0.99998842592592585</v>
      </c>
      <c r="G282" s="76" t="str">
        <f t="shared" si="36"/>
        <v xml:space="preserve">
</v>
      </c>
    </row>
    <row r="283" spans="1:7" s="56" customFormat="1" ht="18" customHeight="1">
      <c r="A283" s="86">
        <f t="shared" si="37"/>
        <v>43372</v>
      </c>
      <c r="B283" s="87" t="s">
        <v>41</v>
      </c>
      <c r="C283" s="88"/>
      <c r="D283" s="88"/>
      <c r="E283" s="82">
        <f t="shared" si="34"/>
        <v>0</v>
      </c>
      <c r="F283" s="75">
        <f t="shared" si="35"/>
        <v>0.99998842592592585</v>
      </c>
      <c r="G283" s="76" t="str">
        <f t="shared" si="36"/>
        <v xml:space="preserve">
</v>
      </c>
    </row>
    <row r="284" spans="1:7" s="56" customFormat="1" ht="18" customHeight="1">
      <c r="A284" s="86">
        <f t="shared" si="37"/>
        <v>43373</v>
      </c>
      <c r="B284" s="87" t="s">
        <v>41</v>
      </c>
      <c r="C284" s="88"/>
      <c r="D284" s="88"/>
      <c r="E284" s="82">
        <f t="shared" si="34"/>
        <v>0</v>
      </c>
      <c r="F284" s="75">
        <f t="shared" si="35"/>
        <v>0.99998842592592585</v>
      </c>
      <c r="G284" s="76" t="str">
        <f t="shared" si="36"/>
        <v xml:space="preserve">
</v>
      </c>
    </row>
    <row r="285" spans="1:7" s="56" customFormat="1" ht="18" customHeight="1">
      <c r="A285" s="130" t="s">
        <v>9</v>
      </c>
      <c r="B285" s="130"/>
      <c r="C285" s="130"/>
      <c r="D285" s="130"/>
      <c r="E285" s="131"/>
      <c r="F285" s="131"/>
      <c r="G285" s="132"/>
    </row>
    <row r="286" spans="1:7" s="56" customFormat="1" ht="18" customHeight="1">
      <c r="A286" s="86">
        <f>DATE(Konfiguration!$B$2,10,1)</f>
        <v>43374</v>
      </c>
      <c r="B286" s="87" t="s">
        <v>41</v>
      </c>
      <c r="C286" s="88"/>
      <c r="D286" s="88"/>
      <c r="E286" s="82">
        <f t="shared" ref="E286:E316" si="38">IF(C286="",TIME(0,0,0),C286)</f>
        <v>0</v>
      </c>
      <c r="F286" s="75">
        <f t="shared" ref="F286:F316" si="39">IF(D286="",TIME(23,59,59),D286)</f>
        <v>0.99998842592592585</v>
      </c>
      <c r="G286" s="76" t="str">
        <f t="shared" ref="G286:G316" si="40">IF(C286="","",TEXT(C286,"HH:MM"))&amp; LINE_BREAK  &amp; IF(D286="","",TEXT(D286,"HH:MM"))</f>
        <v xml:space="preserve">
</v>
      </c>
    </row>
    <row r="287" spans="1:7" s="56" customFormat="1" ht="18" customHeight="1">
      <c r="A287" s="86">
        <f t="shared" ref="A287:A316" si="41">A286+1</f>
        <v>43375</v>
      </c>
      <c r="B287" s="87" t="s">
        <v>41</v>
      </c>
      <c r="C287" s="88"/>
      <c r="D287" s="88"/>
      <c r="E287" s="82">
        <f t="shared" si="38"/>
        <v>0</v>
      </c>
      <c r="F287" s="75">
        <f t="shared" si="39"/>
        <v>0.99998842592592585</v>
      </c>
      <c r="G287" s="76" t="str">
        <f t="shared" si="40"/>
        <v xml:space="preserve">
</v>
      </c>
    </row>
    <row r="288" spans="1:7" s="56" customFormat="1" ht="18" customHeight="1">
      <c r="A288" s="86">
        <f t="shared" si="41"/>
        <v>43376</v>
      </c>
      <c r="B288" s="87" t="s">
        <v>41</v>
      </c>
      <c r="C288" s="88"/>
      <c r="D288" s="88"/>
      <c r="E288" s="82">
        <f t="shared" si="38"/>
        <v>0</v>
      </c>
      <c r="F288" s="75">
        <f t="shared" si="39"/>
        <v>0.99998842592592585</v>
      </c>
      <c r="G288" s="76" t="str">
        <f t="shared" si="40"/>
        <v xml:space="preserve">
</v>
      </c>
    </row>
    <row r="289" spans="1:7" s="56" customFormat="1" ht="18" customHeight="1">
      <c r="A289" s="86">
        <f t="shared" si="41"/>
        <v>43377</v>
      </c>
      <c r="B289" s="87" t="s">
        <v>41</v>
      </c>
      <c r="C289" s="88"/>
      <c r="D289" s="88"/>
      <c r="E289" s="82">
        <f t="shared" si="38"/>
        <v>0</v>
      </c>
      <c r="F289" s="75">
        <f t="shared" si="39"/>
        <v>0.99998842592592585</v>
      </c>
      <c r="G289" s="76" t="str">
        <f t="shared" si="40"/>
        <v xml:space="preserve">
</v>
      </c>
    </row>
    <row r="290" spans="1:7" s="56" customFormat="1" ht="18" customHeight="1">
      <c r="A290" s="86">
        <f t="shared" si="41"/>
        <v>43378</v>
      </c>
      <c r="B290" s="87" t="s">
        <v>41</v>
      </c>
      <c r="C290" s="88"/>
      <c r="D290" s="88"/>
      <c r="E290" s="82">
        <f t="shared" si="38"/>
        <v>0</v>
      </c>
      <c r="F290" s="75">
        <f t="shared" si="39"/>
        <v>0.99998842592592585</v>
      </c>
      <c r="G290" s="76" t="str">
        <f t="shared" si="40"/>
        <v xml:space="preserve">
</v>
      </c>
    </row>
    <row r="291" spans="1:7" s="56" customFormat="1" ht="18" customHeight="1">
      <c r="A291" s="86">
        <f t="shared" si="41"/>
        <v>43379</v>
      </c>
      <c r="B291" s="87" t="s">
        <v>41</v>
      </c>
      <c r="C291" s="88"/>
      <c r="D291" s="88"/>
      <c r="E291" s="82">
        <f t="shared" si="38"/>
        <v>0</v>
      </c>
      <c r="F291" s="75">
        <f t="shared" si="39"/>
        <v>0.99998842592592585</v>
      </c>
      <c r="G291" s="76" t="str">
        <f t="shared" si="40"/>
        <v xml:space="preserve">
</v>
      </c>
    </row>
    <row r="292" spans="1:7" s="56" customFormat="1" ht="18" customHeight="1">
      <c r="A292" s="86">
        <f t="shared" si="41"/>
        <v>43380</v>
      </c>
      <c r="B292" s="87" t="s">
        <v>41</v>
      </c>
      <c r="C292" s="88"/>
      <c r="D292" s="88"/>
      <c r="E292" s="82">
        <f t="shared" si="38"/>
        <v>0</v>
      </c>
      <c r="F292" s="75">
        <f t="shared" si="39"/>
        <v>0.99998842592592585</v>
      </c>
      <c r="G292" s="76" t="str">
        <f t="shared" si="40"/>
        <v xml:space="preserve">
</v>
      </c>
    </row>
    <row r="293" spans="1:7" s="56" customFormat="1" ht="18" customHeight="1">
      <c r="A293" s="86">
        <f t="shared" si="41"/>
        <v>43381</v>
      </c>
      <c r="B293" s="87" t="s">
        <v>41</v>
      </c>
      <c r="C293" s="88"/>
      <c r="D293" s="88"/>
      <c r="E293" s="82">
        <f t="shared" si="38"/>
        <v>0</v>
      </c>
      <c r="F293" s="75">
        <f t="shared" si="39"/>
        <v>0.99998842592592585</v>
      </c>
      <c r="G293" s="76" t="str">
        <f t="shared" si="40"/>
        <v xml:space="preserve">
</v>
      </c>
    </row>
    <row r="294" spans="1:7" s="56" customFormat="1" ht="18" customHeight="1">
      <c r="A294" s="86">
        <f t="shared" si="41"/>
        <v>43382</v>
      </c>
      <c r="B294" s="87" t="s">
        <v>41</v>
      </c>
      <c r="C294" s="88"/>
      <c r="D294" s="88"/>
      <c r="E294" s="82">
        <f t="shared" si="38"/>
        <v>0</v>
      </c>
      <c r="F294" s="75">
        <f t="shared" si="39"/>
        <v>0.99998842592592585</v>
      </c>
      <c r="G294" s="76" t="str">
        <f t="shared" si="40"/>
        <v xml:space="preserve">
</v>
      </c>
    </row>
    <row r="295" spans="1:7" s="56" customFormat="1" ht="18" customHeight="1">
      <c r="A295" s="86">
        <f t="shared" si="41"/>
        <v>43383</v>
      </c>
      <c r="B295" s="87" t="s">
        <v>41</v>
      </c>
      <c r="C295" s="88"/>
      <c r="D295" s="88"/>
      <c r="E295" s="82">
        <f t="shared" si="38"/>
        <v>0</v>
      </c>
      <c r="F295" s="75">
        <f t="shared" si="39"/>
        <v>0.99998842592592585</v>
      </c>
      <c r="G295" s="76" t="str">
        <f t="shared" si="40"/>
        <v xml:space="preserve">
</v>
      </c>
    </row>
    <row r="296" spans="1:7" s="56" customFormat="1" ht="18" customHeight="1">
      <c r="A296" s="86">
        <f t="shared" si="41"/>
        <v>43384</v>
      </c>
      <c r="B296" s="87" t="s">
        <v>41</v>
      </c>
      <c r="C296" s="88"/>
      <c r="D296" s="88"/>
      <c r="E296" s="82">
        <f t="shared" si="38"/>
        <v>0</v>
      </c>
      <c r="F296" s="75">
        <f t="shared" si="39"/>
        <v>0.99998842592592585</v>
      </c>
      <c r="G296" s="76" t="str">
        <f t="shared" si="40"/>
        <v xml:space="preserve">
</v>
      </c>
    </row>
    <row r="297" spans="1:7" s="56" customFormat="1" ht="18" customHeight="1">
      <c r="A297" s="86">
        <f t="shared" si="41"/>
        <v>43385</v>
      </c>
      <c r="B297" s="87" t="s">
        <v>41</v>
      </c>
      <c r="C297" s="88"/>
      <c r="D297" s="88"/>
      <c r="E297" s="82">
        <f t="shared" si="38"/>
        <v>0</v>
      </c>
      <c r="F297" s="75">
        <f t="shared" si="39"/>
        <v>0.99998842592592585</v>
      </c>
      <c r="G297" s="76" t="str">
        <f t="shared" si="40"/>
        <v xml:space="preserve">
</v>
      </c>
    </row>
    <row r="298" spans="1:7" s="56" customFormat="1" ht="18" customHeight="1">
      <c r="A298" s="86">
        <f t="shared" si="41"/>
        <v>43386</v>
      </c>
      <c r="B298" s="87" t="s">
        <v>41</v>
      </c>
      <c r="C298" s="88"/>
      <c r="D298" s="88"/>
      <c r="E298" s="82">
        <f t="shared" si="38"/>
        <v>0</v>
      </c>
      <c r="F298" s="75">
        <f t="shared" si="39"/>
        <v>0.99998842592592585</v>
      </c>
      <c r="G298" s="76" t="str">
        <f t="shared" si="40"/>
        <v xml:space="preserve">
</v>
      </c>
    </row>
    <row r="299" spans="1:7" s="56" customFormat="1" ht="18" customHeight="1">
      <c r="A299" s="86">
        <f t="shared" si="41"/>
        <v>43387</v>
      </c>
      <c r="B299" s="87" t="s">
        <v>41</v>
      </c>
      <c r="C299" s="88"/>
      <c r="D299" s="88"/>
      <c r="E299" s="82">
        <f t="shared" si="38"/>
        <v>0</v>
      </c>
      <c r="F299" s="75">
        <f t="shared" si="39"/>
        <v>0.99998842592592585</v>
      </c>
      <c r="G299" s="76" t="str">
        <f t="shared" si="40"/>
        <v xml:space="preserve">
</v>
      </c>
    </row>
    <row r="300" spans="1:7" s="56" customFormat="1" ht="18" customHeight="1">
      <c r="A300" s="86">
        <f t="shared" si="41"/>
        <v>43388</v>
      </c>
      <c r="B300" s="87" t="s">
        <v>41</v>
      </c>
      <c r="C300" s="88"/>
      <c r="D300" s="88"/>
      <c r="E300" s="82">
        <f t="shared" si="38"/>
        <v>0</v>
      </c>
      <c r="F300" s="75">
        <f t="shared" si="39"/>
        <v>0.99998842592592585</v>
      </c>
      <c r="G300" s="76" t="str">
        <f t="shared" si="40"/>
        <v xml:space="preserve">
</v>
      </c>
    </row>
    <row r="301" spans="1:7" s="56" customFormat="1" ht="18" customHeight="1">
      <c r="A301" s="86">
        <f t="shared" si="41"/>
        <v>43389</v>
      </c>
      <c r="B301" s="87" t="s">
        <v>41</v>
      </c>
      <c r="C301" s="88"/>
      <c r="D301" s="88"/>
      <c r="E301" s="82">
        <f t="shared" si="38"/>
        <v>0</v>
      </c>
      <c r="F301" s="75">
        <f t="shared" si="39"/>
        <v>0.99998842592592585</v>
      </c>
      <c r="G301" s="76" t="str">
        <f t="shared" si="40"/>
        <v xml:space="preserve">
</v>
      </c>
    </row>
    <row r="302" spans="1:7" s="56" customFormat="1" ht="18" customHeight="1">
      <c r="A302" s="86">
        <f t="shared" si="41"/>
        <v>43390</v>
      </c>
      <c r="B302" s="87" t="s">
        <v>41</v>
      </c>
      <c r="C302" s="88"/>
      <c r="D302" s="88"/>
      <c r="E302" s="82">
        <f t="shared" si="38"/>
        <v>0</v>
      </c>
      <c r="F302" s="75">
        <f t="shared" si="39"/>
        <v>0.99998842592592585</v>
      </c>
      <c r="G302" s="76" t="str">
        <f t="shared" si="40"/>
        <v xml:space="preserve">
</v>
      </c>
    </row>
    <row r="303" spans="1:7" s="56" customFormat="1" ht="18" customHeight="1">
      <c r="A303" s="86">
        <f t="shared" si="41"/>
        <v>43391</v>
      </c>
      <c r="B303" s="87" t="s">
        <v>41</v>
      </c>
      <c r="C303" s="88"/>
      <c r="D303" s="88"/>
      <c r="E303" s="82">
        <f t="shared" si="38"/>
        <v>0</v>
      </c>
      <c r="F303" s="75">
        <f t="shared" si="39"/>
        <v>0.99998842592592585</v>
      </c>
      <c r="G303" s="76" t="str">
        <f t="shared" si="40"/>
        <v xml:space="preserve">
</v>
      </c>
    </row>
    <row r="304" spans="1:7" s="56" customFormat="1" ht="18" customHeight="1">
      <c r="A304" s="86">
        <f t="shared" si="41"/>
        <v>43392</v>
      </c>
      <c r="B304" s="87" t="s">
        <v>41</v>
      </c>
      <c r="C304" s="88"/>
      <c r="D304" s="88"/>
      <c r="E304" s="82">
        <f t="shared" si="38"/>
        <v>0</v>
      </c>
      <c r="F304" s="75">
        <f t="shared" si="39"/>
        <v>0.99998842592592585</v>
      </c>
      <c r="G304" s="76" t="str">
        <f t="shared" si="40"/>
        <v xml:space="preserve">
</v>
      </c>
    </row>
    <row r="305" spans="1:7" s="56" customFormat="1" ht="18" customHeight="1">
      <c r="A305" s="86">
        <f t="shared" si="41"/>
        <v>43393</v>
      </c>
      <c r="B305" s="87" t="s">
        <v>41</v>
      </c>
      <c r="C305" s="88"/>
      <c r="D305" s="88"/>
      <c r="E305" s="82">
        <f t="shared" si="38"/>
        <v>0</v>
      </c>
      <c r="F305" s="75">
        <f t="shared" si="39"/>
        <v>0.99998842592592585</v>
      </c>
      <c r="G305" s="76" t="str">
        <f t="shared" si="40"/>
        <v xml:space="preserve">
</v>
      </c>
    </row>
    <row r="306" spans="1:7" s="56" customFormat="1" ht="18" customHeight="1">
      <c r="A306" s="86">
        <f t="shared" si="41"/>
        <v>43394</v>
      </c>
      <c r="B306" s="87" t="s">
        <v>41</v>
      </c>
      <c r="C306" s="88"/>
      <c r="D306" s="88"/>
      <c r="E306" s="82">
        <f t="shared" si="38"/>
        <v>0</v>
      </c>
      <c r="F306" s="75">
        <f t="shared" si="39"/>
        <v>0.99998842592592585</v>
      </c>
      <c r="G306" s="76" t="str">
        <f t="shared" si="40"/>
        <v xml:space="preserve">
</v>
      </c>
    </row>
    <row r="307" spans="1:7" s="56" customFormat="1" ht="18" customHeight="1">
      <c r="A307" s="86">
        <f t="shared" si="41"/>
        <v>43395</v>
      </c>
      <c r="B307" s="87" t="s">
        <v>41</v>
      </c>
      <c r="C307" s="88"/>
      <c r="D307" s="88"/>
      <c r="E307" s="82">
        <f t="shared" si="38"/>
        <v>0</v>
      </c>
      <c r="F307" s="75">
        <f t="shared" si="39"/>
        <v>0.99998842592592585</v>
      </c>
      <c r="G307" s="76" t="str">
        <f t="shared" si="40"/>
        <v xml:space="preserve">
</v>
      </c>
    </row>
    <row r="308" spans="1:7" s="56" customFormat="1" ht="18" customHeight="1">
      <c r="A308" s="86">
        <f t="shared" si="41"/>
        <v>43396</v>
      </c>
      <c r="B308" s="87" t="s">
        <v>41</v>
      </c>
      <c r="C308" s="88"/>
      <c r="D308" s="88"/>
      <c r="E308" s="82">
        <f t="shared" si="38"/>
        <v>0</v>
      </c>
      <c r="F308" s="75">
        <f t="shared" si="39"/>
        <v>0.99998842592592585</v>
      </c>
      <c r="G308" s="76" t="str">
        <f t="shared" si="40"/>
        <v xml:space="preserve">
</v>
      </c>
    </row>
    <row r="309" spans="1:7" s="56" customFormat="1" ht="18" customHeight="1">
      <c r="A309" s="86">
        <f t="shared" si="41"/>
        <v>43397</v>
      </c>
      <c r="B309" s="87" t="s">
        <v>41</v>
      </c>
      <c r="C309" s="88"/>
      <c r="D309" s="88"/>
      <c r="E309" s="82">
        <f t="shared" si="38"/>
        <v>0</v>
      </c>
      <c r="F309" s="75">
        <f t="shared" si="39"/>
        <v>0.99998842592592585</v>
      </c>
      <c r="G309" s="76" t="str">
        <f t="shared" si="40"/>
        <v xml:space="preserve">
</v>
      </c>
    </row>
    <row r="310" spans="1:7" s="56" customFormat="1" ht="18" customHeight="1">
      <c r="A310" s="86">
        <f t="shared" si="41"/>
        <v>43398</v>
      </c>
      <c r="B310" s="87" t="s">
        <v>41</v>
      </c>
      <c r="C310" s="88"/>
      <c r="D310" s="88"/>
      <c r="E310" s="82">
        <f t="shared" si="38"/>
        <v>0</v>
      </c>
      <c r="F310" s="75">
        <f t="shared" si="39"/>
        <v>0.99998842592592585</v>
      </c>
      <c r="G310" s="76" t="str">
        <f t="shared" si="40"/>
        <v xml:space="preserve">
</v>
      </c>
    </row>
    <row r="311" spans="1:7" s="56" customFormat="1" ht="18" customHeight="1">
      <c r="A311" s="86">
        <f t="shared" si="41"/>
        <v>43399</v>
      </c>
      <c r="B311" s="87" t="s">
        <v>41</v>
      </c>
      <c r="C311" s="88"/>
      <c r="D311" s="88"/>
      <c r="E311" s="82">
        <f t="shared" si="38"/>
        <v>0</v>
      </c>
      <c r="F311" s="75">
        <f t="shared" si="39"/>
        <v>0.99998842592592585</v>
      </c>
      <c r="G311" s="76" t="str">
        <f t="shared" si="40"/>
        <v xml:space="preserve">
</v>
      </c>
    </row>
    <row r="312" spans="1:7" s="56" customFormat="1" ht="18" customHeight="1">
      <c r="A312" s="86">
        <f t="shared" si="41"/>
        <v>43400</v>
      </c>
      <c r="B312" s="87" t="s">
        <v>41</v>
      </c>
      <c r="C312" s="88"/>
      <c r="D312" s="88"/>
      <c r="E312" s="82">
        <f t="shared" si="38"/>
        <v>0</v>
      </c>
      <c r="F312" s="75">
        <f t="shared" si="39"/>
        <v>0.99998842592592585</v>
      </c>
      <c r="G312" s="76" t="str">
        <f t="shared" si="40"/>
        <v xml:space="preserve">
</v>
      </c>
    </row>
    <row r="313" spans="1:7" s="56" customFormat="1" ht="18" customHeight="1">
      <c r="A313" s="86">
        <f t="shared" si="41"/>
        <v>43401</v>
      </c>
      <c r="B313" s="87" t="s">
        <v>41</v>
      </c>
      <c r="C313" s="88"/>
      <c r="D313" s="88"/>
      <c r="E313" s="82">
        <f t="shared" si="38"/>
        <v>0</v>
      </c>
      <c r="F313" s="75">
        <f t="shared" si="39"/>
        <v>0.99998842592592585</v>
      </c>
      <c r="G313" s="76" t="str">
        <f t="shared" si="40"/>
        <v xml:space="preserve">
</v>
      </c>
    </row>
    <row r="314" spans="1:7" s="56" customFormat="1" ht="18" customHeight="1">
      <c r="A314" s="86">
        <f t="shared" si="41"/>
        <v>43402</v>
      </c>
      <c r="B314" s="87" t="s">
        <v>41</v>
      </c>
      <c r="C314" s="88"/>
      <c r="D314" s="88"/>
      <c r="E314" s="82">
        <f t="shared" si="38"/>
        <v>0</v>
      </c>
      <c r="F314" s="75">
        <f t="shared" si="39"/>
        <v>0.99998842592592585</v>
      </c>
      <c r="G314" s="76" t="str">
        <f t="shared" si="40"/>
        <v xml:space="preserve">
</v>
      </c>
    </row>
    <row r="315" spans="1:7" s="56" customFormat="1" ht="18" customHeight="1">
      <c r="A315" s="86">
        <f t="shared" si="41"/>
        <v>43403</v>
      </c>
      <c r="B315" s="87" t="s">
        <v>41</v>
      </c>
      <c r="C315" s="88"/>
      <c r="D315" s="88"/>
      <c r="E315" s="82">
        <f t="shared" si="38"/>
        <v>0</v>
      </c>
      <c r="F315" s="75">
        <f t="shared" si="39"/>
        <v>0.99998842592592585</v>
      </c>
      <c r="G315" s="76" t="str">
        <f t="shared" si="40"/>
        <v xml:space="preserve">
</v>
      </c>
    </row>
    <row r="316" spans="1:7" s="56" customFormat="1" ht="18" customHeight="1">
      <c r="A316" s="86">
        <f t="shared" si="41"/>
        <v>43404</v>
      </c>
      <c r="B316" s="87" t="s">
        <v>41</v>
      </c>
      <c r="C316" s="88"/>
      <c r="D316" s="88"/>
      <c r="E316" s="82">
        <f t="shared" si="38"/>
        <v>0</v>
      </c>
      <c r="F316" s="75">
        <f t="shared" si="39"/>
        <v>0.99998842592592585</v>
      </c>
      <c r="G316" s="76" t="str">
        <f t="shared" si="40"/>
        <v xml:space="preserve">
</v>
      </c>
    </row>
    <row r="317" spans="1:7" s="56" customFormat="1" ht="18" customHeight="1">
      <c r="A317" s="130" t="s">
        <v>10</v>
      </c>
      <c r="B317" s="130"/>
      <c r="C317" s="130"/>
      <c r="D317" s="130"/>
      <c r="E317" s="131"/>
      <c r="F317" s="131"/>
      <c r="G317" s="132"/>
    </row>
    <row r="318" spans="1:7" s="56" customFormat="1" ht="18" customHeight="1">
      <c r="A318" s="86">
        <f>DATE(Konfiguration!$B$2,11,1)</f>
        <v>43405</v>
      </c>
      <c r="B318" s="87" t="s">
        <v>41</v>
      </c>
      <c r="C318" s="88"/>
      <c r="D318" s="88"/>
      <c r="E318" s="82">
        <f t="shared" ref="E318:E347" si="42">IF(C318="",TIME(0,0,0),C318)</f>
        <v>0</v>
      </c>
      <c r="F318" s="75">
        <f t="shared" ref="F318:F347" si="43">IF(D318="",TIME(23,59,59),D318)</f>
        <v>0.99998842592592585</v>
      </c>
      <c r="G318" s="76" t="str">
        <f t="shared" ref="G318:G347" si="44">IF(C318="","",TEXT(C318,"HH:MM"))&amp; LINE_BREAK  &amp; IF(D318="","",TEXT(D318,"HH:MM"))</f>
        <v xml:space="preserve">
</v>
      </c>
    </row>
    <row r="319" spans="1:7" s="56" customFormat="1" ht="18" customHeight="1">
      <c r="A319" s="86">
        <f t="shared" ref="A319:A347" si="45">A318+1</f>
        <v>43406</v>
      </c>
      <c r="B319" s="87" t="s">
        <v>41</v>
      </c>
      <c r="C319" s="88"/>
      <c r="D319" s="88"/>
      <c r="E319" s="82">
        <f t="shared" si="42"/>
        <v>0</v>
      </c>
      <c r="F319" s="75">
        <f t="shared" si="43"/>
        <v>0.99998842592592585</v>
      </c>
      <c r="G319" s="76" t="str">
        <f t="shared" si="44"/>
        <v xml:space="preserve">
</v>
      </c>
    </row>
    <row r="320" spans="1:7" s="56" customFormat="1" ht="18" customHeight="1">
      <c r="A320" s="86">
        <f t="shared" si="45"/>
        <v>43407</v>
      </c>
      <c r="B320" s="87" t="s">
        <v>41</v>
      </c>
      <c r="C320" s="88"/>
      <c r="D320" s="88"/>
      <c r="E320" s="82">
        <f t="shared" si="42"/>
        <v>0</v>
      </c>
      <c r="F320" s="75">
        <f t="shared" si="43"/>
        <v>0.99998842592592585</v>
      </c>
      <c r="G320" s="76" t="str">
        <f t="shared" si="44"/>
        <v xml:space="preserve">
</v>
      </c>
    </row>
    <row r="321" spans="1:7" s="56" customFormat="1" ht="18" customHeight="1">
      <c r="A321" s="86">
        <f t="shared" si="45"/>
        <v>43408</v>
      </c>
      <c r="B321" s="87" t="s">
        <v>41</v>
      </c>
      <c r="C321" s="88"/>
      <c r="D321" s="88"/>
      <c r="E321" s="82">
        <f t="shared" si="42"/>
        <v>0</v>
      </c>
      <c r="F321" s="75">
        <f t="shared" si="43"/>
        <v>0.99998842592592585</v>
      </c>
      <c r="G321" s="76" t="str">
        <f t="shared" si="44"/>
        <v xml:space="preserve">
</v>
      </c>
    </row>
    <row r="322" spans="1:7" s="56" customFormat="1" ht="18" customHeight="1">
      <c r="A322" s="86">
        <f t="shared" si="45"/>
        <v>43409</v>
      </c>
      <c r="B322" s="87" t="s">
        <v>41</v>
      </c>
      <c r="C322" s="88"/>
      <c r="D322" s="88"/>
      <c r="E322" s="82">
        <f t="shared" si="42"/>
        <v>0</v>
      </c>
      <c r="F322" s="75">
        <f t="shared" si="43"/>
        <v>0.99998842592592585</v>
      </c>
      <c r="G322" s="76" t="str">
        <f t="shared" si="44"/>
        <v xml:space="preserve">
</v>
      </c>
    </row>
    <row r="323" spans="1:7" s="56" customFormat="1" ht="18" customHeight="1">
      <c r="A323" s="86">
        <f t="shared" si="45"/>
        <v>43410</v>
      </c>
      <c r="B323" s="87" t="s">
        <v>41</v>
      </c>
      <c r="C323" s="88"/>
      <c r="D323" s="88"/>
      <c r="E323" s="82">
        <f t="shared" si="42"/>
        <v>0</v>
      </c>
      <c r="F323" s="75">
        <f t="shared" si="43"/>
        <v>0.99998842592592585</v>
      </c>
      <c r="G323" s="76" t="str">
        <f t="shared" si="44"/>
        <v xml:space="preserve">
</v>
      </c>
    </row>
    <row r="324" spans="1:7" s="56" customFormat="1" ht="18" customHeight="1">
      <c r="A324" s="86">
        <f t="shared" si="45"/>
        <v>43411</v>
      </c>
      <c r="B324" s="87" t="s">
        <v>41</v>
      </c>
      <c r="C324" s="88"/>
      <c r="D324" s="88"/>
      <c r="E324" s="82">
        <f t="shared" si="42"/>
        <v>0</v>
      </c>
      <c r="F324" s="75">
        <f t="shared" si="43"/>
        <v>0.99998842592592585</v>
      </c>
      <c r="G324" s="76" t="str">
        <f t="shared" si="44"/>
        <v xml:space="preserve">
</v>
      </c>
    </row>
    <row r="325" spans="1:7" s="56" customFormat="1" ht="18" customHeight="1">
      <c r="A325" s="86">
        <f t="shared" si="45"/>
        <v>43412</v>
      </c>
      <c r="B325" s="87" t="s">
        <v>41</v>
      </c>
      <c r="C325" s="88"/>
      <c r="D325" s="88"/>
      <c r="E325" s="82">
        <f t="shared" si="42"/>
        <v>0</v>
      </c>
      <c r="F325" s="75">
        <f t="shared" si="43"/>
        <v>0.99998842592592585</v>
      </c>
      <c r="G325" s="76" t="str">
        <f t="shared" si="44"/>
        <v xml:space="preserve">
</v>
      </c>
    </row>
    <row r="326" spans="1:7" s="56" customFormat="1" ht="18" customHeight="1">
      <c r="A326" s="86">
        <f t="shared" si="45"/>
        <v>43413</v>
      </c>
      <c r="B326" s="87" t="s">
        <v>41</v>
      </c>
      <c r="C326" s="88"/>
      <c r="D326" s="88"/>
      <c r="E326" s="82">
        <f t="shared" si="42"/>
        <v>0</v>
      </c>
      <c r="F326" s="75">
        <f t="shared" si="43"/>
        <v>0.99998842592592585</v>
      </c>
      <c r="G326" s="76" t="str">
        <f t="shared" si="44"/>
        <v xml:space="preserve">
</v>
      </c>
    </row>
    <row r="327" spans="1:7" s="56" customFormat="1" ht="18" customHeight="1">
      <c r="A327" s="86">
        <f t="shared" si="45"/>
        <v>43414</v>
      </c>
      <c r="B327" s="87" t="s">
        <v>41</v>
      </c>
      <c r="C327" s="88"/>
      <c r="D327" s="88"/>
      <c r="E327" s="82">
        <f t="shared" si="42"/>
        <v>0</v>
      </c>
      <c r="F327" s="75">
        <f t="shared" si="43"/>
        <v>0.99998842592592585</v>
      </c>
      <c r="G327" s="76" t="str">
        <f t="shared" si="44"/>
        <v xml:space="preserve">
</v>
      </c>
    </row>
    <row r="328" spans="1:7" s="56" customFormat="1" ht="18" customHeight="1">
      <c r="A328" s="86">
        <f t="shared" si="45"/>
        <v>43415</v>
      </c>
      <c r="B328" s="87" t="s">
        <v>41</v>
      </c>
      <c r="C328" s="88"/>
      <c r="D328" s="88"/>
      <c r="E328" s="82">
        <f t="shared" si="42"/>
        <v>0</v>
      </c>
      <c r="F328" s="75">
        <f t="shared" si="43"/>
        <v>0.99998842592592585</v>
      </c>
      <c r="G328" s="76" t="str">
        <f t="shared" si="44"/>
        <v xml:space="preserve">
</v>
      </c>
    </row>
    <row r="329" spans="1:7" s="56" customFormat="1" ht="18" customHeight="1">
      <c r="A329" s="86">
        <f t="shared" si="45"/>
        <v>43416</v>
      </c>
      <c r="B329" s="87" t="s">
        <v>41</v>
      </c>
      <c r="C329" s="88"/>
      <c r="D329" s="88"/>
      <c r="E329" s="82">
        <f t="shared" si="42"/>
        <v>0</v>
      </c>
      <c r="F329" s="75">
        <f t="shared" si="43"/>
        <v>0.99998842592592585</v>
      </c>
      <c r="G329" s="76" t="str">
        <f t="shared" si="44"/>
        <v xml:space="preserve">
</v>
      </c>
    </row>
    <row r="330" spans="1:7" s="56" customFormat="1" ht="18" customHeight="1">
      <c r="A330" s="86">
        <f t="shared" si="45"/>
        <v>43417</v>
      </c>
      <c r="B330" s="87" t="s">
        <v>41</v>
      </c>
      <c r="C330" s="88"/>
      <c r="D330" s="88"/>
      <c r="E330" s="82">
        <f t="shared" si="42"/>
        <v>0</v>
      </c>
      <c r="F330" s="75">
        <f t="shared" si="43"/>
        <v>0.99998842592592585</v>
      </c>
      <c r="G330" s="76" t="str">
        <f t="shared" si="44"/>
        <v xml:space="preserve">
</v>
      </c>
    </row>
    <row r="331" spans="1:7" s="56" customFormat="1" ht="18" customHeight="1">
      <c r="A331" s="86">
        <f t="shared" si="45"/>
        <v>43418</v>
      </c>
      <c r="B331" s="87" t="s">
        <v>41</v>
      </c>
      <c r="C331" s="88"/>
      <c r="D331" s="88"/>
      <c r="E331" s="82">
        <f t="shared" si="42"/>
        <v>0</v>
      </c>
      <c r="F331" s="75">
        <f t="shared" si="43"/>
        <v>0.99998842592592585</v>
      </c>
      <c r="G331" s="76" t="str">
        <f t="shared" si="44"/>
        <v xml:space="preserve">
</v>
      </c>
    </row>
    <row r="332" spans="1:7" s="56" customFormat="1" ht="18" customHeight="1">
      <c r="A332" s="86">
        <f t="shared" si="45"/>
        <v>43419</v>
      </c>
      <c r="B332" s="87" t="s">
        <v>41</v>
      </c>
      <c r="C332" s="88"/>
      <c r="D332" s="88"/>
      <c r="E332" s="82">
        <f t="shared" si="42"/>
        <v>0</v>
      </c>
      <c r="F332" s="75">
        <f t="shared" si="43"/>
        <v>0.99998842592592585</v>
      </c>
      <c r="G332" s="76" t="str">
        <f t="shared" si="44"/>
        <v xml:space="preserve">
</v>
      </c>
    </row>
    <row r="333" spans="1:7" s="56" customFormat="1" ht="18" customHeight="1">
      <c r="A333" s="86">
        <f t="shared" si="45"/>
        <v>43420</v>
      </c>
      <c r="B333" s="87" t="s">
        <v>41</v>
      </c>
      <c r="C333" s="88"/>
      <c r="D333" s="88"/>
      <c r="E333" s="82">
        <f t="shared" si="42"/>
        <v>0</v>
      </c>
      <c r="F333" s="75">
        <f t="shared" si="43"/>
        <v>0.99998842592592585</v>
      </c>
      <c r="G333" s="76" t="str">
        <f t="shared" si="44"/>
        <v xml:space="preserve">
</v>
      </c>
    </row>
    <row r="334" spans="1:7" s="56" customFormat="1" ht="18" customHeight="1">
      <c r="A334" s="86">
        <f t="shared" si="45"/>
        <v>43421</v>
      </c>
      <c r="B334" s="87" t="s">
        <v>41</v>
      </c>
      <c r="C334" s="88"/>
      <c r="D334" s="88"/>
      <c r="E334" s="82">
        <f t="shared" si="42"/>
        <v>0</v>
      </c>
      <c r="F334" s="75">
        <f t="shared" si="43"/>
        <v>0.99998842592592585</v>
      </c>
      <c r="G334" s="76" t="str">
        <f t="shared" si="44"/>
        <v xml:space="preserve">
</v>
      </c>
    </row>
    <row r="335" spans="1:7" s="56" customFormat="1" ht="18" customHeight="1">
      <c r="A335" s="86">
        <f t="shared" si="45"/>
        <v>43422</v>
      </c>
      <c r="B335" s="87" t="s">
        <v>41</v>
      </c>
      <c r="C335" s="88"/>
      <c r="D335" s="88"/>
      <c r="E335" s="82">
        <f t="shared" si="42"/>
        <v>0</v>
      </c>
      <c r="F335" s="75">
        <f t="shared" si="43"/>
        <v>0.99998842592592585</v>
      </c>
      <c r="G335" s="76" t="str">
        <f t="shared" si="44"/>
        <v xml:space="preserve">
</v>
      </c>
    </row>
    <row r="336" spans="1:7" s="56" customFormat="1" ht="18" customHeight="1">
      <c r="A336" s="86">
        <f t="shared" si="45"/>
        <v>43423</v>
      </c>
      <c r="B336" s="87" t="s">
        <v>41</v>
      </c>
      <c r="C336" s="88"/>
      <c r="D336" s="88"/>
      <c r="E336" s="82">
        <f t="shared" si="42"/>
        <v>0</v>
      </c>
      <c r="F336" s="75">
        <f t="shared" si="43"/>
        <v>0.99998842592592585</v>
      </c>
      <c r="G336" s="76" t="str">
        <f t="shared" si="44"/>
        <v xml:space="preserve">
</v>
      </c>
    </row>
    <row r="337" spans="1:7" s="56" customFormat="1" ht="18" customHeight="1">
      <c r="A337" s="86">
        <f t="shared" si="45"/>
        <v>43424</v>
      </c>
      <c r="B337" s="87" t="s">
        <v>41</v>
      </c>
      <c r="C337" s="88"/>
      <c r="D337" s="88"/>
      <c r="E337" s="82">
        <f t="shared" si="42"/>
        <v>0</v>
      </c>
      <c r="F337" s="75">
        <f t="shared" si="43"/>
        <v>0.99998842592592585</v>
      </c>
      <c r="G337" s="76" t="str">
        <f t="shared" si="44"/>
        <v xml:space="preserve">
</v>
      </c>
    </row>
    <row r="338" spans="1:7" s="56" customFormat="1" ht="18" customHeight="1">
      <c r="A338" s="86">
        <f t="shared" si="45"/>
        <v>43425</v>
      </c>
      <c r="B338" s="87" t="s">
        <v>41</v>
      </c>
      <c r="C338" s="88"/>
      <c r="D338" s="88"/>
      <c r="E338" s="82">
        <f t="shared" si="42"/>
        <v>0</v>
      </c>
      <c r="F338" s="75">
        <f t="shared" si="43"/>
        <v>0.99998842592592585</v>
      </c>
      <c r="G338" s="76" t="str">
        <f t="shared" si="44"/>
        <v xml:space="preserve">
</v>
      </c>
    </row>
    <row r="339" spans="1:7" s="56" customFormat="1" ht="18" customHeight="1">
      <c r="A339" s="86">
        <f t="shared" si="45"/>
        <v>43426</v>
      </c>
      <c r="B339" s="87" t="s">
        <v>41</v>
      </c>
      <c r="C339" s="88"/>
      <c r="D339" s="88"/>
      <c r="E339" s="82">
        <f t="shared" si="42"/>
        <v>0</v>
      </c>
      <c r="F339" s="75">
        <f t="shared" si="43"/>
        <v>0.99998842592592585</v>
      </c>
      <c r="G339" s="76" t="str">
        <f t="shared" si="44"/>
        <v xml:space="preserve">
</v>
      </c>
    </row>
    <row r="340" spans="1:7" s="56" customFormat="1" ht="18" customHeight="1">
      <c r="A340" s="86">
        <f t="shared" si="45"/>
        <v>43427</v>
      </c>
      <c r="B340" s="87" t="s">
        <v>41</v>
      </c>
      <c r="C340" s="88"/>
      <c r="D340" s="88"/>
      <c r="E340" s="82">
        <f t="shared" si="42"/>
        <v>0</v>
      </c>
      <c r="F340" s="75">
        <f t="shared" si="43"/>
        <v>0.99998842592592585</v>
      </c>
      <c r="G340" s="76" t="str">
        <f t="shared" si="44"/>
        <v xml:space="preserve">
</v>
      </c>
    </row>
    <row r="341" spans="1:7" s="56" customFormat="1" ht="18" customHeight="1">
      <c r="A341" s="86">
        <f t="shared" si="45"/>
        <v>43428</v>
      </c>
      <c r="B341" s="87" t="s">
        <v>41</v>
      </c>
      <c r="C341" s="88"/>
      <c r="D341" s="88"/>
      <c r="E341" s="82">
        <f t="shared" si="42"/>
        <v>0</v>
      </c>
      <c r="F341" s="75">
        <f t="shared" si="43"/>
        <v>0.99998842592592585</v>
      </c>
      <c r="G341" s="76" t="str">
        <f t="shared" si="44"/>
        <v xml:space="preserve">
</v>
      </c>
    </row>
    <row r="342" spans="1:7" s="56" customFormat="1" ht="18" customHeight="1">
      <c r="A342" s="86">
        <f t="shared" si="45"/>
        <v>43429</v>
      </c>
      <c r="B342" s="87" t="s">
        <v>41</v>
      </c>
      <c r="C342" s="88"/>
      <c r="D342" s="88"/>
      <c r="E342" s="82">
        <f t="shared" si="42"/>
        <v>0</v>
      </c>
      <c r="F342" s="75">
        <f t="shared" si="43"/>
        <v>0.99998842592592585</v>
      </c>
      <c r="G342" s="76" t="str">
        <f t="shared" si="44"/>
        <v xml:space="preserve">
</v>
      </c>
    </row>
    <row r="343" spans="1:7" s="56" customFormat="1" ht="18" customHeight="1">
      <c r="A343" s="86">
        <f t="shared" si="45"/>
        <v>43430</v>
      </c>
      <c r="B343" s="87" t="s">
        <v>41</v>
      </c>
      <c r="C343" s="88"/>
      <c r="D343" s="88"/>
      <c r="E343" s="82">
        <f t="shared" si="42"/>
        <v>0</v>
      </c>
      <c r="F343" s="75">
        <f t="shared" si="43"/>
        <v>0.99998842592592585</v>
      </c>
      <c r="G343" s="76" t="str">
        <f t="shared" si="44"/>
        <v xml:space="preserve">
</v>
      </c>
    </row>
    <row r="344" spans="1:7" s="56" customFormat="1" ht="18" customHeight="1">
      <c r="A344" s="86">
        <f t="shared" si="45"/>
        <v>43431</v>
      </c>
      <c r="B344" s="87" t="s">
        <v>41</v>
      </c>
      <c r="C344" s="88"/>
      <c r="D344" s="88"/>
      <c r="E344" s="82">
        <f t="shared" si="42"/>
        <v>0</v>
      </c>
      <c r="F344" s="75">
        <f t="shared" si="43"/>
        <v>0.99998842592592585</v>
      </c>
      <c r="G344" s="76" t="str">
        <f t="shared" si="44"/>
        <v xml:space="preserve">
</v>
      </c>
    </row>
    <row r="345" spans="1:7" s="56" customFormat="1" ht="18" customHeight="1">
      <c r="A345" s="86">
        <f t="shared" si="45"/>
        <v>43432</v>
      </c>
      <c r="B345" s="87" t="s">
        <v>41</v>
      </c>
      <c r="C345" s="88"/>
      <c r="D345" s="88"/>
      <c r="E345" s="82">
        <f t="shared" si="42"/>
        <v>0</v>
      </c>
      <c r="F345" s="75">
        <f t="shared" si="43"/>
        <v>0.99998842592592585</v>
      </c>
      <c r="G345" s="76" t="str">
        <f t="shared" si="44"/>
        <v xml:space="preserve">
</v>
      </c>
    </row>
    <row r="346" spans="1:7" s="56" customFormat="1" ht="18" customHeight="1">
      <c r="A346" s="86">
        <f t="shared" si="45"/>
        <v>43433</v>
      </c>
      <c r="B346" s="87" t="s">
        <v>41</v>
      </c>
      <c r="C346" s="88"/>
      <c r="D346" s="88"/>
      <c r="E346" s="82">
        <f t="shared" si="42"/>
        <v>0</v>
      </c>
      <c r="F346" s="75">
        <f t="shared" si="43"/>
        <v>0.99998842592592585</v>
      </c>
      <c r="G346" s="76" t="str">
        <f t="shared" si="44"/>
        <v xml:space="preserve">
</v>
      </c>
    </row>
    <row r="347" spans="1:7" s="56" customFormat="1" ht="18" customHeight="1">
      <c r="A347" s="86">
        <f t="shared" si="45"/>
        <v>43434</v>
      </c>
      <c r="B347" s="87" t="s">
        <v>41</v>
      </c>
      <c r="C347" s="88"/>
      <c r="D347" s="88"/>
      <c r="E347" s="82">
        <f t="shared" si="42"/>
        <v>0</v>
      </c>
      <c r="F347" s="75">
        <f t="shared" si="43"/>
        <v>0.99998842592592585</v>
      </c>
      <c r="G347" s="76" t="str">
        <f t="shared" si="44"/>
        <v xml:space="preserve">
</v>
      </c>
    </row>
    <row r="348" spans="1:7" s="56" customFormat="1" ht="18" customHeight="1">
      <c r="A348" s="130" t="s">
        <v>11</v>
      </c>
      <c r="B348" s="130"/>
      <c r="C348" s="130"/>
      <c r="D348" s="130"/>
      <c r="E348" s="131"/>
      <c r="F348" s="131"/>
      <c r="G348" s="132"/>
    </row>
    <row r="349" spans="1:7" s="56" customFormat="1" ht="18" customHeight="1">
      <c r="A349" s="86">
        <f>DATE(Konfiguration!$B$2,12,1)</f>
        <v>43435</v>
      </c>
      <c r="B349" s="87" t="s">
        <v>41</v>
      </c>
      <c r="C349" s="88"/>
      <c r="D349" s="88"/>
      <c r="E349" s="82">
        <f t="shared" ref="E349:E379" si="46">IF(C349="",TIME(0,0,0),C349)</f>
        <v>0</v>
      </c>
      <c r="F349" s="75">
        <f t="shared" ref="F349:F379" si="47">IF(D349="",TIME(23,59,59),D349)</f>
        <v>0.99998842592592585</v>
      </c>
      <c r="G349" s="76" t="str">
        <f t="shared" ref="G349:G379" si="48">IF(C349="","",TEXT(C349,"HH:MM"))&amp; LINE_BREAK  &amp; IF(D349="","",TEXT(D349,"HH:MM"))</f>
        <v xml:space="preserve">
</v>
      </c>
    </row>
    <row r="350" spans="1:7" s="56" customFormat="1" ht="18" customHeight="1">
      <c r="A350" s="86">
        <f t="shared" ref="A350:A379" si="49">A349+1</f>
        <v>43436</v>
      </c>
      <c r="B350" s="87" t="s">
        <v>41</v>
      </c>
      <c r="C350" s="88"/>
      <c r="D350" s="88"/>
      <c r="E350" s="82">
        <f t="shared" si="46"/>
        <v>0</v>
      </c>
      <c r="F350" s="75">
        <f t="shared" si="47"/>
        <v>0.99998842592592585</v>
      </c>
      <c r="G350" s="76" t="str">
        <f t="shared" si="48"/>
        <v xml:space="preserve">
</v>
      </c>
    </row>
    <row r="351" spans="1:7" s="56" customFormat="1" ht="18" customHeight="1">
      <c r="A351" s="86">
        <f t="shared" si="49"/>
        <v>43437</v>
      </c>
      <c r="B351" s="87" t="s">
        <v>41</v>
      </c>
      <c r="C351" s="88"/>
      <c r="D351" s="88"/>
      <c r="E351" s="82">
        <f t="shared" si="46"/>
        <v>0</v>
      </c>
      <c r="F351" s="75">
        <f t="shared" si="47"/>
        <v>0.99998842592592585</v>
      </c>
      <c r="G351" s="76" t="str">
        <f t="shared" si="48"/>
        <v xml:space="preserve">
</v>
      </c>
    </row>
    <row r="352" spans="1:7" s="56" customFormat="1" ht="18" customHeight="1">
      <c r="A352" s="86">
        <f t="shared" si="49"/>
        <v>43438</v>
      </c>
      <c r="B352" s="87" t="s">
        <v>41</v>
      </c>
      <c r="C352" s="88"/>
      <c r="D352" s="88"/>
      <c r="E352" s="82">
        <f t="shared" si="46"/>
        <v>0</v>
      </c>
      <c r="F352" s="75">
        <f t="shared" si="47"/>
        <v>0.99998842592592585</v>
      </c>
      <c r="G352" s="76" t="str">
        <f t="shared" si="48"/>
        <v xml:space="preserve">
</v>
      </c>
    </row>
    <row r="353" spans="1:7" s="56" customFormat="1" ht="18" customHeight="1">
      <c r="A353" s="86">
        <f t="shared" si="49"/>
        <v>43439</v>
      </c>
      <c r="B353" s="87" t="s">
        <v>41</v>
      </c>
      <c r="C353" s="88"/>
      <c r="D353" s="88"/>
      <c r="E353" s="82">
        <f t="shared" si="46"/>
        <v>0</v>
      </c>
      <c r="F353" s="75">
        <f t="shared" si="47"/>
        <v>0.99998842592592585</v>
      </c>
      <c r="G353" s="76" t="str">
        <f t="shared" si="48"/>
        <v xml:space="preserve">
</v>
      </c>
    </row>
    <row r="354" spans="1:7" s="56" customFormat="1" ht="18" customHeight="1">
      <c r="A354" s="86">
        <f t="shared" si="49"/>
        <v>43440</v>
      </c>
      <c r="B354" s="87" t="s">
        <v>41</v>
      </c>
      <c r="C354" s="88"/>
      <c r="D354" s="88"/>
      <c r="E354" s="82">
        <f t="shared" si="46"/>
        <v>0</v>
      </c>
      <c r="F354" s="75">
        <f t="shared" si="47"/>
        <v>0.99998842592592585</v>
      </c>
      <c r="G354" s="76" t="str">
        <f t="shared" si="48"/>
        <v xml:space="preserve">
</v>
      </c>
    </row>
    <row r="355" spans="1:7" s="56" customFormat="1" ht="18" customHeight="1">
      <c r="A355" s="86">
        <f t="shared" si="49"/>
        <v>43441</v>
      </c>
      <c r="B355" s="87" t="s">
        <v>41</v>
      </c>
      <c r="C355" s="88"/>
      <c r="D355" s="88"/>
      <c r="E355" s="82">
        <f t="shared" si="46"/>
        <v>0</v>
      </c>
      <c r="F355" s="75">
        <f t="shared" si="47"/>
        <v>0.99998842592592585</v>
      </c>
      <c r="G355" s="76" t="str">
        <f t="shared" si="48"/>
        <v xml:space="preserve">
</v>
      </c>
    </row>
    <row r="356" spans="1:7" s="56" customFormat="1" ht="18" customHeight="1">
      <c r="A356" s="86">
        <f t="shared" si="49"/>
        <v>43442</v>
      </c>
      <c r="B356" s="87" t="s">
        <v>41</v>
      </c>
      <c r="C356" s="88"/>
      <c r="D356" s="88"/>
      <c r="E356" s="82">
        <f t="shared" si="46"/>
        <v>0</v>
      </c>
      <c r="F356" s="75">
        <f t="shared" si="47"/>
        <v>0.99998842592592585</v>
      </c>
      <c r="G356" s="76" t="str">
        <f t="shared" si="48"/>
        <v xml:space="preserve">
</v>
      </c>
    </row>
    <row r="357" spans="1:7" s="56" customFormat="1" ht="18" customHeight="1">
      <c r="A357" s="86">
        <f t="shared" si="49"/>
        <v>43443</v>
      </c>
      <c r="B357" s="87" t="s">
        <v>41</v>
      </c>
      <c r="C357" s="88"/>
      <c r="D357" s="88"/>
      <c r="E357" s="82">
        <f t="shared" si="46"/>
        <v>0</v>
      </c>
      <c r="F357" s="75">
        <f t="shared" si="47"/>
        <v>0.99998842592592585</v>
      </c>
      <c r="G357" s="76" t="str">
        <f t="shared" si="48"/>
        <v xml:space="preserve">
</v>
      </c>
    </row>
    <row r="358" spans="1:7" s="56" customFormat="1" ht="18" customHeight="1">
      <c r="A358" s="86">
        <f t="shared" si="49"/>
        <v>43444</v>
      </c>
      <c r="B358" s="87" t="s">
        <v>41</v>
      </c>
      <c r="C358" s="88"/>
      <c r="D358" s="88"/>
      <c r="E358" s="82">
        <f t="shared" si="46"/>
        <v>0</v>
      </c>
      <c r="F358" s="75">
        <f t="shared" si="47"/>
        <v>0.99998842592592585</v>
      </c>
      <c r="G358" s="76" t="str">
        <f t="shared" si="48"/>
        <v xml:space="preserve">
</v>
      </c>
    </row>
    <row r="359" spans="1:7" s="56" customFormat="1" ht="18" customHeight="1">
      <c r="A359" s="86">
        <f t="shared" si="49"/>
        <v>43445</v>
      </c>
      <c r="B359" s="87" t="s">
        <v>41</v>
      </c>
      <c r="C359" s="88"/>
      <c r="D359" s="88"/>
      <c r="E359" s="82">
        <f t="shared" si="46"/>
        <v>0</v>
      </c>
      <c r="F359" s="75">
        <f t="shared" si="47"/>
        <v>0.99998842592592585</v>
      </c>
      <c r="G359" s="76" t="str">
        <f t="shared" si="48"/>
        <v xml:space="preserve">
</v>
      </c>
    </row>
    <row r="360" spans="1:7" s="56" customFormat="1" ht="18" customHeight="1">
      <c r="A360" s="86">
        <f t="shared" si="49"/>
        <v>43446</v>
      </c>
      <c r="B360" s="87" t="s">
        <v>41</v>
      </c>
      <c r="C360" s="88"/>
      <c r="D360" s="88"/>
      <c r="E360" s="82">
        <f t="shared" si="46"/>
        <v>0</v>
      </c>
      <c r="F360" s="75">
        <f t="shared" si="47"/>
        <v>0.99998842592592585</v>
      </c>
      <c r="G360" s="76" t="str">
        <f t="shared" si="48"/>
        <v xml:space="preserve">
</v>
      </c>
    </row>
    <row r="361" spans="1:7" s="56" customFormat="1" ht="18" customHeight="1">
      <c r="A361" s="86">
        <f t="shared" si="49"/>
        <v>43447</v>
      </c>
      <c r="B361" s="87" t="s">
        <v>41</v>
      </c>
      <c r="C361" s="88"/>
      <c r="D361" s="88"/>
      <c r="E361" s="82">
        <f t="shared" si="46"/>
        <v>0</v>
      </c>
      <c r="F361" s="75">
        <f t="shared" si="47"/>
        <v>0.99998842592592585</v>
      </c>
      <c r="G361" s="76" t="str">
        <f t="shared" si="48"/>
        <v xml:space="preserve">
</v>
      </c>
    </row>
    <row r="362" spans="1:7" s="56" customFormat="1" ht="18" customHeight="1">
      <c r="A362" s="86">
        <f t="shared" si="49"/>
        <v>43448</v>
      </c>
      <c r="B362" s="87" t="s">
        <v>41</v>
      </c>
      <c r="C362" s="88"/>
      <c r="D362" s="88"/>
      <c r="E362" s="82">
        <f t="shared" si="46"/>
        <v>0</v>
      </c>
      <c r="F362" s="75">
        <f t="shared" si="47"/>
        <v>0.99998842592592585</v>
      </c>
      <c r="G362" s="76" t="str">
        <f t="shared" si="48"/>
        <v xml:space="preserve">
</v>
      </c>
    </row>
    <row r="363" spans="1:7" s="56" customFormat="1" ht="18" customHeight="1">
      <c r="A363" s="86">
        <f t="shared" si="49"/>
        <v>43449</v>
      </c>
      <c r="B363" s="87" t="s">
        <v>41</v>
      </c>
      <c r="C363" s="88"/>
      <c r="D363" s="88"/>
      <c r="E363" s="82">
        <f t="shared" si="46"/>
        <v>0</v>
      </c>
      <c r="F363" s="75">
        <f t="shared" si="47"/>
        <v>0.99998842592592585</v>
      </c>
      <c r="G363" s="76" t="str">
        <f t="shared" si="48"/>
        <v xml:space="preserve">
</v>
      </c>
    </row>
    <row r="364" spans="1:7" s="56" customFormat="1" ht="18" customHeight="1">
      <c r="A364" s="86">
        <f t="shared" si="49"/>
        <v>43450</v>
      </c>
      <c r="B364" s="87" t="s">
        <v>41</v>
      </c>
      <c r="C364" s="88"/>
      <c r="D364" s="88"/>
      <c r="E364" s="82">
        <f t="shared" si="46"/>
        <v>0</v>
      </c>
      <c r="F364" s="75">
        <f t="shared" si="47"/>
        <v>0.99998842592592585</v>
      </c>
      <c r="G364" s="76" t="str">
        <f t="shared" si="48"/>
        <v xml:space="preserve">
</v>
      </c>
    </row>
    <row r="365" spans="1:7" s="56" customFormat="1" ht="18" customHeight="1">
      <c r="A365" s="86">
        <f t="shared" si="49"/>
        <v>43451</v>
      </c>
      <c r="B365" s="87" t="s">
        <v>41</v>
      </c>
      <c r="C365" s="88"/>
      <c r="D365" s="88"/>
      <c r="E365" s="82">
        <f t="shared" si="46"/>
        <v>0</v>
      </c>
      <c r="F365" s="75">
        <f t="shared" si="47"/>
        <v>0.99998842592592585</v>
      </c>
      <c r="G365" s="76" t="str">
        <f t="shared" si="48"/>
        <v xml:space="preserve">
</v>
      </c>
    </row>
    <row r="366" spans="1:7" s="56" customFormat="1" ht="18" customHeight="1">
      <c r="A366" s="86">
        <f t="shared" si="49"/>
        <v>43452</v>
      </c>
      <c r="B366" s="87" t="s">
        <v>41</v>
      </c>
      <c r="C366" s="88"/>
      <c r="D366" s="88"/>
      <c r="E366" s="82">
        <f t="shared" si="46"/>
        <v>0</v>
      </c>
      <c r="F366" s="75">
        <f t="shared" si="47"/>
        <v>0.99998842592592585</v>
      </c>
      <c r="G366" s="76" t="str">
        <f t="shared" si="48"/>
        <v xml:space="preserve">
</v>
      </c>
    </row>
    <row r="367" spans="1:7" s="56" customFormat="1" ht="18" customHeight="1">
      <c r="A367" s="86">
        <f t="shared" si="49"/>
        <v>43453</v>
      </c>
      <c r="B367" s="87" t="s">
        <v>41</v>
      </c>
      <c r="C367" s="88"/>
      <c r="D367" s="88"/>
      <c r="E367" s="82">
        <f t="shared" si="46"/>
        <v>0</v>
      </c>
      <c r="F367" s="75">
        <f t="shared" si="47"/>
        <v>0.99998842592592585</v>
      </c>
      <c r="G367" s="76" t="str">
        <f t="shared" si="48"/>
        <v xml:space="preserve">
</v>
      </c>
    </row>
    <row r="368" spans="1:7" s="56" customFormat="1" ht="18" customHeight="1">
      <c r="A368" s="86">
        <f t="shared" si="49"/>
        <v>43454</v>
      </c>
      <c r="B368" s="87" t="s">
        <v>41</v>
      </c>
      <c r="C368" s="88"/>
      <c r="D368" s="88"/>
      <c r="E368" s="82">
        <f t="shared" si="46"/>
        <v>0</v>
      </c>
      <c r="F368" s="75">
        <f t="shared" si="47"/>
        <v>0.99998842592592585</v>
      </c>
      <c r="G368" s="76" t="str">
        <f t="shared" si="48"/>
        <v xml:space="preserve">
</v>
      </c>
    </row>
    <row r="369" spans="1:7" s="56" customFormat="1" ht="18" customHeight="1">
      <c r="A369" s="86">
        <f t="shared" si="49"/>
        <v>43455</v>
      </c>
      <c r="B369" s="87" t="s">
        <v>41</v>
      </c>
      <c r="C369" s="88"/>
      <c r="D369" s="88"/>
      <c r="E369" s="82">
        <f t="shared" si="46"/>
        <v>0</v>
      </c>
      <c r="F369" s="75">
        <f t="shared" si="47"/>
        <v>0.99998842592592585</v>
      </c>
      <c r="G369" s="76" t="str">
        <f t="shared" si="48"/>
        <v xml:space="preserve">
</v>
      </c>
    </row>
    <row r="370" spans="1:7" s="56" customFormat="1" ht="18" customHeight="1">
      <c r="A370" s="86">
        <f t="shared" si="49"/>
        <v>43456</v>
      </c>
      <c r="B370" s="87" t="s">
        <v>41</v>
      </c>
      <c r="C370" s="88"/>
      <c r="D370" s="88"/>
      <c r="E370" s="82">
        <f t="shared" si="46"/>
        <v>0</v>
      </c>
      <c r="F370" s="75">
        <f t="shared" si="47"/>
        <v>0.99998842592592585</v>
      </c>
      <c r="G370" s="76" t="str">
        <f t="shared" si="48"/>
        <v xml:space="preserve">
</v>
      </c>
    </row>
    <row r="371" spans="1:7" s="56" customFormat="1" ht="18" customHeight="1">
      <c r="A371" s="86">
        <f t="shared" si="49"/>
        <v>43457</v>
      </c>
      <c r="B371" s="87" t="s">
        <v>41</v>
      </c>
      <c r="C371" s="88"/>
      <c r="D371" s="88"/>
      <c r="E371" s="82">
        <f t="shared" si="46"/>
        <v>0</v>
      </c>
      <c r="F371" s="75">
        <f t="shared" si="47"/>
        <v>0.99998842592592585</v>
      </c>
      <c r="G371" s="76" t="str">
        <f t="shared" si="48"/>
        <v xml:space="preserve">
</v>
      </c>
    </row>
    <row r="372" spans="1:7" s="56" customFormat="1" ht="18" customHeight="1">
      <c r="A372" s="86">
        <f t="shared" si="49"/>
        <v>43458</v>
      </c>
      <c r="B372" s="87" t="s">
        <v>41</v>
      </c>
      <c r="C372" s="88"/>
      <c r="D372" s="88"/>
      <c r="E372" s="82">
        <f t="shared" si="46"/>
        <v>0</v>
      </c>
      <c r="F372" s="75">
        <f t="shared" si="47"/>
        <v>0.99998842592592585</v>
      </c>
      <c r="G372" s="76" t="str">
        <f t="shared" si="48"/>
        <v xml:space="preserve">
</v>
      </c>
    </row>
    <row r="373" spans="1:7" s="56" customFormat="1" ht="18" customHeight="1">
      <c r="A373" s="86">
        <f t="shared" si="49"/>
        <v>43459</v>
      </c>
      <c r="B373" s="87" t="s">
        <v>41</v>
      </c>
      <c r="C373" s="88"/>
      <c r="D373" s="88"/>
      <c r="E373" s="82">
        <f t="shared" si="46"/>
        <v>0</v>
      </c>
      <c r="F373" s="75">
        <f t="shared" si="47"/>
        <v>0.99998842592592585</v>
      </c>
      <c r="G373" s="76" t="str">
        <f t="shared" si="48"/>
        <v xml:space="preserve">
</v>
      </c>
    </row>
    <row r="374" spans="1:7" s="56" customFormat="1" ht="18" customHeight="1">
      <c r="A374" s="86">
        <f t="shared" si="49"/>
        <v>43460</v>
      </c>
      <c r="B374" s="87" t="s">
        <v>41</v>
      </c>
      <c r="C374" s="88"/>
      <c r="D374" s="88"/>
      <c r="E374" s="82">
        <f t="shared" si="46"/>
        <v>0</v>
      </c>
      <c r="F374" s="75">
        <f t="shared" si="47"/>
        <v>0.99998842592592585</v>
      </c>
      <c r="G374" s="76" t="str">
        <f t="shared" si="48"/>
        <v xml:space="preserve">
</v>
      </c>
    </row>
    <row r="375" spans="1:7" s="56" customFormat="1" ht="18" customHeight="1">
      <c r="A375" s="86">
        <f t="shared" si="49"/>
        <v>43461</v>
      </c>
      <c r="B375" s="87" t="s">
        <v>41</v>
      </c>
      <c r="C375" s="88"/>
      <c r="D375" s="88"/>
      <c r="E375" s="82">
        <f t="shared" si="46"/>
        <v>0</v>
      </c>
      <c r="F375" s="75">
        <f t="shared" si="47"/>
        <v>0.99998842592592585</v>
      </c>
      <c r="G375" s="76" t="str">
        <f t="shared" si="48"/>
        <v xml:space="preserve">
</v>
      </c>
    </row>
    <row r="376" spans="1:7" s="56" customFormat="1" ht="18" customHeight="1">
      <c r="A376" s="86">
        <f t="shared" si="49"/>
        <v>43462</v>
      </c>
      <c r="B376" s="87" t="s">
        <v>41</v>
      </c>
      <c r="C376" s="88"/>
      <c r="D376" s="88"/>
      <c r="E376" s="82">
        <f t="shared" si="46"/>
        <v>0</v>
      </c>
      <c r="F376" s="75">
        <f t="shared" si="47"/>
        <v>0.99998842592592585</v>
      </c>
      <c r="G376" s="76" t="str">
        <f t="shared" si="48"/>
        <v xml:space="preserve">
</v>
      </c>
    </row>
    <row r="377" spans="1:7" s="56" customFormat="1" ht="18" customHeight="1">
      <c r="A377" s="86">
        <f t="shared" si="49"/>
        <v>43463</v>
      </c>
      <c r="B377" s="87" t="s">
        <v>41</v>
      </c>
      <c r="C377" s="88"/>
      <c r="D377" s="88"/>
      <c r="E377" s="82">
        <f t="shared" si="46"/>
        <v>0</v>
      </c>
      <c r="F377" s="75">
        <f t="shared" si="47"/>
        <v>0.99998842592592585</v>
      </c>
      <c r="G377" s="76" t="str">
        <f t="shared" si="48"/>
        <v xml:space="preserve">
</v>
      </c>
    </row>
    <row r="378" spans="1:7" s="56" customFormat="1" ht="18" customHeight="1">
      <c r="A378" s="86">
        <f t="shared" si="49"/>
        <v>43464</v>
      </c>
      <c r="B378" s="87" t="s">
        <v>41</v>
      </c>
      <c r="C378" s="88"/>
      <c r="D378" s="88"/>
      <c r="E378" s="82">
        <f t="shared" si="46"/>
        <v>0</v>
      </c>
      <c r="F378" s="75">
        <f t="shared" si="47"/>
        <v>0.99998842592592585</v>
      </c>
      <c r="G378" s="76" t="str">
        <f t="shared" si="48"/>
        <v xml:space="preserve">
</v>
      </c>
    </row>
    <row r="379" spans="1:7" s="56" customFormat="1" ht="18" customHeight="1">
      <c r="A379" s="86">
        <f t="shared" si="49"/>
        <v>43465</v>
      </c>
      <c r="B379" s="87" t="s">
        <v>41</v>
      </c>
      <c r="C379" s="88"/>
      <c r="D379" s="88"/>
      <c r="E379" s="82">
        <f t="shared" si="46"/>
        <v>0</v>
      </c>
      <c r="F379" s="75">
        <f t="shared" si="47"/>
        <v>0.99998842592592585</v>
      </c>
      <c r="G379" s="76" t="str">
        <f t="shared" si="48"/>
        <v xml:space="preserve">
</v>
      </c>
    </row>
    <row r="380" spans="1:7" s="56" customFormat="1" ht="18" customHeight="1">
      <c r="A380" s="130" t="str">
        <f>"Januar " &amp; Konfiguration!$B$2+1</f>
        <v>Januar 2019</v>
      </c>
      <c r="B380" s="130"/>
      <c r="C380" s="130"/>
      <c r="D380" s="130"/>
      <c r="E380" s="131"/>
      <c r="F380" s="131"/>
      <c r="G380" s="132"/>
    </row>
    <row r="381" spans="1:7" s="56" customFormat="1" ht="18" customHeight="1">
      <c r="A381" s="86">
        <f>DATE(Konfiguration!$B$2+1,1,1)</f>
        <v>43466</v>
      </c>
      <c r="B381" s="87" t="s">
        <v>41</v>
      </c>
      <c r="C381" s="88"/>
      <c r="D381" s="88"/>
      <c r="E381" s="82">
        <f t="shared" ref="E381:E395" si="50">IF(C381="",TIME(0,0,0),C381)</f>
        <v>0</v>
      </c>
      <c r="F381" s="75">
        <f t="shared" ref="F381:F395" si="51">IF(D381="",TIME(23,59,59),D381)</f>
        <v>0.99998842592592585</v>
      </c>
      <c r="G381" s="76" t="str">
        <f t="shared" ref="G381:G395" si="52">IF(C381="","",TEXT(C381,"HH:MM"))&amp; LINE_BREAK  &amp; IF(D381="","",TEXT(D381,"HH:MM"))</f>
        <v xml:space="preserve">
</v>
      </c>
    </row>
    <row r="382" spans="1:7" s="56" customFormat="1" ht="18" customHeight="1">
      <c r="A382" s="86">
        <f t="shared" ref="A382:A395" si="53">A381+1</f>
        <v>43467</v>
      </c>
      <c r="B382" s="87" t="s">
        <v>41</v>
      </c>
      <c r="C382" s="88"/>
      <c r="D382" s="88"/>
      <c r="E382" s="82">
        <f t="shared" si="50"/>
        <v>0</v>
      </c>
      <c r="F382" s="75">
        <f t="shared" si="51"/>
        <v>0.99998842592592585</v>
      </c>
      <c r="G382" s="76" t="str">
        <f t="shared" si="52"/>
        <v xml:space="preserve">
</v>
      </c>
    </row>
    <row r="383" spans="1:7" s="56" customFormat="1" ht="18" customHeight="1">
      <c r="A383" s="86">
        <f t="shared" si="53"/>
        <v>43468</v>
      </c>
      <c r="B383" s="87" t="s">
        <v>41</v>
      </c>
      <c r="C383" s="88"/>
      <c r="D383" s="88"/>
      <c r="E383" s="82">
        <f t="shared" si="50"/>
        <v>0</v>
      </c>
      <c r="F383" s="75">
        <f t="shared" si="51"/>
        <v>0.99998842592592585</v>
      </c>
      <c r="G383" s="76" t="str">
        <f t="shared" si="52"/>
        <v xml:space="preserve">
</v>
      </c>
    </row>
    <row r="384" spans="1:7" s="56" customFormat="1" ht="18" customHeight="1">
      <c r="A384" s="86">
        <f t="shared" si="53"/>
        <v>43469</v>
      </c>
      <c r="B384" s="87" t="s">
        <v>41</v>
      </c>
      <c r="C384" s="88"/>
      <c r="D384" s="88"/>
      <c r="E384" s="82">
        <f t="shared" si="50"/>
        <v>0</v>
      </c>
      <c r="F384" s="75">
        <f t="shared" si="51"/>
        <v>0.99998842592592585</v>
      </c>
      <c r="G384" s="76" t="str">
        <f t="shared" si="52"/>
        <v xml:space="preserve">
</v>
      </c>
    </row>
    <row r="385" spans="1:7" s="56" customFormat="1" ht="18" customHeight="1">
      <c r="A385" s="86">
        <f t="shared" si="53"/>
        <v>43470</v>
      </c>
      <c r="B385" s="87" t="s">
        <v>41</v>
      </c>
      <c r="C385" s="88"/>
      <c r="D385" s="88"/>
      <c r="E385" s="82">
        <f t="shared" si="50"/>
        <v>0</v>
      </c>
      <c r="F385" s="75">
        <f t="shared" si="51"/>
        <v>0.99998842592592585</v>
      </c>
      <c r="G385" s="76" t="str">
        <f t="shared" si="52"/>
        <v xml:space="preserve">
</v>
      </c>
    </row>
    <row r="386" spans="1:7" s="56" customFormat="1" ht="18" customHeight="1">
      <c r="A386" s="86">
        <f t="shared" si="53"/>
        <v>43471</v>
      </c>
      <c r="B386" s="87" t="s">
        <v>41</v>
      </c>
      <c r="C386" s="88"/>
      <c r="D386" s="88"/>
      <c r="E386" s="82">
        <f t="shared" si="50"/>
        <v>0</v>
      </c>
      <c r="F386" s="75">
        <f t="shared" si="51"/>
        <v>0.99998842592592585</v>
      </c>
      <c r="G386" s="76" t="str">
        <f t="shared" si="52"/>
        <v xml:space="preserve">
</v>
      </c>
    </row>
    <row r="387" spans="1:7" s="56" customFormat="1" ht="18" customHeight="1">
      <c r="A387" s="86">
        <f t="shared" si="53"/>
        <v>43472</v>
      </c>
      <c r="B387" s="87" t="s">
        <v>41</v>
      </c>
      <c r="C387" s="88"/>
      <c r="D387" s="88"/>
      <c r="E387" s="82">
        <f t="shared" si="50"/>
        <v>0</v>
      </c>
      <c r="F387" s="75">
        <f t="shared" si="51"/>
        <v>0.99998842592592585</v>
      </c>
      <c r="G387" s="76" t="str">
        <f t="shared" si="52"/>
        <v xml:space="preserve">
</v>
      </c>
    </row>
    <row r="388" spans="1:7" s="56" customFormat="1" ht="18" customHeight="1">
      <c r="A388" s="86">
        <f t="shared" si="53"/>
        <v>43473</v>
      </c>
      <c r="B388" s="87" t="s">
        <v>41</v>
      </c>
      <c r="C388" s="88"/>
      <c r="D388" s="88"/>
      <c r="E388" s="82">
        <f t="shared" si="50"/>
        <v>0</v>
      </c>
      <c r="F388" s="75">
        <f t="shared" si="51"/>
        <v>0.99998842592592585</v>
      </c>
      <c r="G388" s="76" t="str">
        <f t="shared" si="52"/>
        <v xml:space="preserve">
</v>
      </c>
    </row>
    <row r="389" spans="1:7" s="56" customFormat="1" ht="18" customHeight="1">
      <c r="A389" s="86">
        <f t="shared" si="53"/>
        <v>43474</v>
      </c>
      <c r="B389" s="87" t="s">
        <v>41</v>
      </c>
      <c r="C389" s="88"/>
      <c r="D389" s="88"/>
      <c r="E389" s="82">
        <f t="shared" si="50"/>
        <v>0</v>
      </c>
      <c r="F389" s="75">
        <f t="shared" si="51"/>
        <v>0.99998842592592585</v>
      </c>
      <c r="G389" s="76" t="str">
        <f t="shared" si="52"/>
        <v xml:space="preserve">
</v>
      </c>
    </row>
    <row r="390" spans="1:7" s="56" customFormat="1" ht="18" customHeight="1">
      <c r="A390" s="86">
        <f t="shared" si="53"/>
        <v>43475</v>
      </c>
      <c r="B390" s="87" t="s">
        <v>41</v>
      </c>
      <c r="C390" s="88"/>
      <c r="D390" s="88"/>
      <c r="E390" s="82">
        <f t="shared" si="50"/>
        <v>0</v>
      </c>
      <c r="F390" s="75">
        <f t="shared" si="51"/>
        <v>0.99998842592592585</v>
      </c>
      <c r="G390" s="76" t="str">
        <f t="shared" si="52"/>
        <v xml:space="preserve">
</v>
      </c>
    </row>
    <row r="391" spans="1:7" s="56" customFormat="1" ht="18" customHeight="1">
      <c r="A391" s="86">
        <f t="shared" si="53"/>
        <v>43476</v>
      </c>
      <c r="B391" s="87" t="s">
        <v>41</v>
      </c>
      <c r="C391" s="88"/>
      <c r="D391" s="88"/>
      <c r="E391" s="82">
        <f t="shared" si="50"/>
        <v>0</v>
      </c>
      <c r="F391" s="75">
        <f t="shared" si="51"/>
        <v>0.99998842592592585</v>
      </c>
      <c r="G391" s="76" t="str">
        <f t="shared" si="52"/>
        <v xml:space="preserve">
</v>
      </c>
    </row>
    <row r="392" spans="1:7" s="56" customFormat="1" ht="18" customHeight="1">
      <c r="A392" s="86">
        <f t="shared" si="53"/>
        <v>43477</v>
      </c>
      <c r="B392" s="87" t="s">
        <v>41</v>
      </c>
      <c r="C392" s="88"/>
      <c r="D392" s="88"/>
      <c r="E392" s="82">
        <f t="shared" si="50"/>
        <v>0</v>
      </c>
      <c r="F392" s="75">
        <f t="shared" si="51"/>
        <v>0.99998842592592585</v>
      </c>
      <c r="G392" s="76" t="str">
        <f t="shared" si="52"/>
        <v xml:space="preserve">
</v>
      </c>
    </row>
    <row r="393" spans="1:7" s="56" customFormat="1" ht="18" customHeight="1">
      <c r="A393" s="86">
        <f t="shared" si="53"/>
        <v>43478</v>
      </c>
      <c r="B393" s="87" t="s">
        <v>41</v>
      </c>
      <c r="C393" s="88"/>
      <c r="D393" s="88"/>
      <c r="E393" s="82">
        <f t="shared" si="50"/>
        <v>0</v>
      </c>
      <c r="F393" s="75">
        <f t="shared" si="51"/>
        <v>0.99998842592592585</v>
      </c>
      <c r="G393" s="76" t="str">
        <f t="shared" si="52"/>
        <v xml:space="preserve">
</v>
      </c>
    </row>
    <row r="394" spans="1:7" s="56" customFormat="1" ht="18" customHeight="1">
      <c r="A394" s="86">
        <f t="shared" si="53"/>
        <v>43479</v>
      </c>
      <c r="B394" s="87" t="s">
        <v>41</v>
      </c>
      <c r="C394" s="88"/>
      <c r="D394" s="88"/>
      <c r="E394" s="82">
        <f t="shared" si="50"/>
        <v>0</v>
      </c>
      <c r="F394" s="75">
        <f t="shared" si="51"/>
        <v>0.99998842592592585</v>
      </c>
      <c r="G394" s="76" t="str">
        <f t="shared" si="52"/>
        <v xml:space="preserve">
</v>
      </c>
    </row>
    <row r="395" spans="1:7" s="56" customFormat="1" ht="18" customHeight="1">
      <c r="A395" s="86">
        <f t="shared" si="53"/>
        <v>43480</v>
      </c>
      <c r="B395" s="87" t="s">
        <v>41</v>
      </c>
      <c r="C395" s="88"/>
      <c r="D395" s="88"/>
      <c r="E395" s="82">
        <f t="shared" si="50"/>
        <v>0</v>
      </c>
      <c r="F395" s="75">
        <f t="shared" si="51"/>
        <v>0.99998842592592585</v>
      </c>
      <c r="G395" s="76" t="str">
        <f t="shared" si="52"/>
        <v xml:space="preserve">
</v>
      </c>
    </row>
    <row r="396" spans="1:7" s="56" customFormat="1" ht="18" customHeight="1">
      <c r="A396" s="89" t="s">
        <v>18</v>
      </c>
      <c r="B396" s="90"/>
      <c r="C396" s="91"/>
      <c r="D396" s="91"/>
      <c r="E396" s="77"/>
      <c r="F396" s="77"/>
      <c r="G396" s="78"/>
    </row>
  </sheetData>
  <sheetProtection algorithmName="SHA-512" hashValue="XhY4xndvN1IgAEH/KWfW76QO+4+LPGk/LrOm7Se2Y4vLAQD+gzrbvQpbnWtAh11l38MOD5SMVMvYedhxMJIgHw==" saltValue="a2ucRYkS8oqGFsNnOgfk4A==" spinCount="100000" sheet="1" objects="1" scenarios="1" formatColumns="0" selectLockedCells="1"/>
  <customSheetViews>
    <customSheetView guid="{19F2C78B-640B-4445-8A9B-8FF71EE799BF}" scale="110">
      <selection activeCell="D399" sqref="D399"/>
      <pageMargins left="0.7" right="0.7" top="0.78740157499999996" bottom="0.78740157499999996" header="0.3" footer="0.3"/>
    </customSheetView>
    <customSheetView guid="{C000300E-3872-7844-B072-10EE917F89C0}">
      <selection activeCell="F153" sqref="F153"/>
      <pageMargins left="0.7" right="0.7" top="0.78740157499999996" bottom="0.78740157499999996" header="0.3" footer="0.3"/>
    </customSheetView>
  </customSheetViews>
  <mergeCells count="13">
    <mergeCell ref="A159:G159"/>
    <mergeCell ref="A2:G2"/>
    <mergeCell ref="A34:G34"/>
    <mergeCell ref="A64:G64"/>
    <mergeCell ref="A96:G96"/>
    <mergeCell ref="A127:G127"/>
    <mergeCell ref="A380:G380"/>
    <mergeCell ref="A190:G190"/>
    <mergeCell ref="A222:G222"/>
    <mergeCell ref="A254:G254"/>
    <mergeCell ref="A285:G285"/>
    <mergeCell ref="A317:G317"/>
    <mergeCell ref="A348:G348"/>
  </mergeCells>
  <dataValidations count="1">
    <dataValidation type="list" allowBlank="1" showInputMessage="1" showErrorMessage="1" sqref="B3:B33 B35:B63 B65:B95 B97:B126 B128:B158 B160:B189 B191:B221 B223:B253 B255:B284 B286:B316 B318:B347 B349:B379 B381:B395" xr:uid="{1EB9C48F-081E-1C4C-BB1C-D329A35F8323}">
      <formula1>Aufenthaltsorte</formula1>
    </dataValidation>
  </dataValidations>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D01EDF2-9DA7-7D40-B5C4-F7C0CF0D8216}">
          <x14:formula1>
            <xm:f>Konfiguration!$B$4:$B$5</xm:f>
          </x14:formula1>
          <xm:sqref>I3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CB2D6-4F9D-9D41-9238-EF35FB78D92F}">
  <sheetPr codeName="Tabelle5">
    <tabColor rgb="FF0070C0"/>
  </sheetPr>
  <dimension ref="A1:A3"/>
  <sheetViews>
    <sheetView showGridLines="0" workbookViewId="0">
      <selection activeCell="A12" sqref="A12"/>
    </sheetView>
  </sheetViews>
  <sheetFormatPr baseColWidth="10" defaultRowHeight="13"/>
  <cols>
    <col min="1" max="1" width="75.83203125" style="69" customWidth="1"/>
  </cols>
  <sheetData>
    <row r="1" spans="1:1">
      <c r="A1" s="70" t="s">
        <v>53</v>
      </c>
    </row>
    <row r="2" spans="1:1">
      <c r="A2" s="68" t="s">
        <v>76</v>
      </c>
    </row>
    <row r="3" spans="1:1">
      <c r="A3" s="68" t="s">
        <v>77</v>
      </c>
    </row>
  </sheetData>
  <sheetProtection algorithmName="SHA-512" hashValue="1bTpQqcrWMG9o/vdcP5+HFV1kM3cOBkqDON/J3LSuInmNJxsEj4IYZw6m2GC8FYjrEjqS60VcLunTJKnErb37A==" saltValue="eL4/FAPclntcK27wiKyxww==" spinCount="100000" sheet="1" objects="1" scenarios="1" formatColumns="0" selectLockedCells="1"/>
  <customSheetViews>
    <customSheetView guid="{19F2C78B-640B-4445-8A9B-8FF71EE799BF}">
      <selection activeCell="A11" sqref="A11"/>
      <pageMargins left="0.7" right="0.7" top="0.78740157499999996" bottom="0.78740157499999996" header="0.3" footer="0.3"/>
    </customSheetView>
    <customSheetView guid="{C000300E-3872-7844-B072-10EE917F89C0}">
      <selection activeCell="A10" sqref="A10"/>
      <pageMargins left="0.7" right="0.7" top="0.78740157499999996" bottom="0.78740157499999996" header="0.3" footer="0.3"/>
    </customSheetView>
  </customSheetView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9</vt:i4>
      </vt:variant>
      <vt:variant>
        <vt:lpstr>Benannte Bereiche</vt:lpstr>
      </vt:variant>
      <vt:variant>
        <vt:i4>5</vt:i4>
      </vt:variant>
    </vt:vector>
  </HeadingPairs>
  <TitlesOfParts>
    <vt:vector size="14" baseType="lpstr">
      <vt:lpstr>Titelseite</vt:lpstr>
      <vt:lpstr>Anleitung</vt:lpstr>
      <vt:lpstr>Konfiguration</vt:lpstr>
      <vt:lpstr>Ferienregelung</vt:lpstr>
      <vt:lpstr>Ferien</vt:lpstr>
      <vt:lpstr>Feiertage</vt:lpstr>
      <vt:lpstr>Termine</vt:lpstr>
      <vt:lpstr>Aufenthalte</vt:lpstr>
      <vt:lpstr>Vereinbarungen</vt:lpstr>
      <vt:lpstr>Aufenthaltsorte</vt:lpstr>
      <vt:lpstr>Anleitung!Druckbereich</vt:lpstr>
      <vt:lpstr>Ferienregelung!Druckbereich</vt:lpstr>
      <vt:lpstr>Titelseite!Druckbereich</vt:lpstr>
      <vt:lpstr>LINE_BREAK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Ferienregelung für Luke 2018</dc:title>
  <dc:subject/>
  <dc:creator>Dennis Jung, Dipl.-Ing. (FH)</dc:creator>
  <cp:keywords>Ferienregelung, Luke, 2018</cp:keywords>
  <dc:description>Kalender auf Basis der MS-Excel Vorlage von www.kalenderpedia.de</dc:description>
  <cp:lastModifiedBy>Dennis Jung</cp:lastModifiedBy>
  <cp:lastPrinted>2017-12-11T20:31:43Z</cp:lastPrinted>
  <dcterms:created xsi:type="dcterms:W3CDTF">2012-06-04T17:05:14Z</dcterms:created>
  <dcterms:modified xsi:type="dcterms:W3CDTF">2018-09-12T04:52:01Z</dcterms:modified>
  <cp:category/>
</cp:coreProperties>
</file>